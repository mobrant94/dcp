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enato.stein\Downloads\"/>
    </mc:Choice>
  </mc:AlternateContent>
  <xr:revisionPtr revIDLastSave="0" documentId="13_ncr:1_{BD01D626-B273-4BC0-8343-5F048ABB9D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C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BYd39pYIPxOZrdZSZ1Hl1ONBMYUh1ryHg9uCYVvuf0="/>
    </ext>
  </extLst>
</workbook>
</file>

<file path=xl/calcChain.xml><?xml version="1.0" encoding="utf-8"?>
<calcChain xmlns="http://schemas.openxmlformats.org/spreadsheetml/2006/main">
  <c r="I31" i="1" l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ID#AAAA8kqdM9U
ProAsma01    (2023-11-14 11:18:12)
data de nascimento</t>
        </r>
      </text>
    </comment>
    <comment ref="E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ID#AAAA8kqdM9Y
ProAsma01    (2023-11-14 11:18:12)
data atual</t>
        </r>
      </text>
    </comment>
    <comment ref="F1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ID#AAAA8kqdM8Y
ProAsma01    (2023-11-14 11:18:12)
anos</t>
        </r>
      </text>
    </comment>
    <comment ref="H1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ID#AAAA8kqdM8c
ProAsma01    (2023-11-14 11:18:12)
Kg</t>
        </r>
      </text>
    </comment>
    <comment ref="J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ID#AAAA8kqdM8s
Asus    (2023-11-14 11:18:12)
0=masculino
1=feminino</t>
        </r>
      </text>
    </comment>
    <comment ref="K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ID#AAAA8kqdM8k
Asus    (2023-11-14 11:18:12)
Para um sujeito caucasiano, digite 1
Para um sujeito afro-americano, digite 2
Para um sujeito do nordeste asiático, digite 3
Para um sujeito do Sudeste Asiático, digite 4
Para um sujeito de qualquer outra etnia, digite 5</t>
        </r>
      </text>
    </comment>
    <comment ref="O1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ID#AAAA8kqdM9E
tc={D6D3271F-13B1-4BD5-AB75-12A6993A7841}    (2023-11-14 11:18:12)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0 = negativo
1 = positivo</t>
        </r>
      </text>
    </comment>
    <comment ref="P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ID#AAAA8kqdM9c
Asus    (2023-11-14 11:18:12)
doença respiratória neonatal persistente inexplicavel com necessidade de oxigenio suplementar em crianças nascidas a termo.
0=não
1=sim
2=desconhece</t>
        </r>
      </text>
    </comment>
    <comment ref="Q1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ID#AAAA8kqdM84
Asus    (2023-11-14 11:18:12)
tosse umida, de inicio precoce, durante todo o ano.
0=não
1=sim
2=desconhece</t>
        </r>
      </text>
    </comment>
    <comment ref="R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ID#AAAA8kqdM9g
Asus    (2023-11-14 11:18:12)
congestao nasal, de inicio precoce, durante todo ano.
0=não
1=sim
2=desconhece</t>
        </r>
      </text>
    </comment>
    <comment ref="S1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ID#AAAA8kqdM8M
Asus    (2023-11-14 11:18:12)
defeito de lateralidade.
0=não
1=sim
2=desconhece</t>
        </r>
      </text>
    </comment>
    <comment ref="T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ID#AAAA8kqdM9Q
Asus    (2023-11-14 11:18:12)
o paciente tem tosse umida diaria que começou na primeira infancia.
0=não
1=sim
2=desconhece</t>
        </r>
      </text>
    </comment>
    <comment ref="U1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ID#AAAA8kqdM8g
Asus    (2023-11-14 11:18:12)
o paciente nasceu prematuro ou a termo.
0=prematuro
1=a termo
2=desconhece</t>
        </r>
      </text>
    </comment>
    <comment ref="V1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ID#AAAA8kqdM8Q
Asus    (2023-11-14 11:18:12)
o paciente apresentou doença respiratoria baixa noperiodo neonatal (por exemplo, taquipneia, tosse, pneumonia).
0=não
1=sim
2=desconhece</t>
        </r>
      </text>
    </comment>
    <comment ref="W1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ID#AAAA8kqdM8w
Asus    (2023-11-14 11:18:12)
o paciente foi admitido na uti neonatal.
0=não
1=sim
2=desconhece</t>
        </r>
      </text>
    </comment>
    <comment ref="X1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ID#AAAA8kqdM8o
Asus    (2023-11-14 11:18:12)
o paciente tem uma anormalidade de situs (situs inversus e heterotaxia).
0=não
1=sim
2=desconhece</t>
        </r>
      </text>
    </comment>
    <comment ref="Y1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ID#AAAA8kqdM8U
Asus    (2023-11-14 11:18:12)
o paciente tem um defeito cardiaco congenito.
0=não
1=sim
2=desconhece</t>
        </r>
      </text>
    </comment>
    <comment ref="Z1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ID#AAAA8kqdM9I
Asus    (2023-11-14 11:18:12)
o paciente tem rinite perene e persistente.
0=não
1=sim
2=desconhece</t>
        </r>
      </text>
    </comment>
    <comment ref="AA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ID#AAAA8kqdM88
Asus    (2023-11-14 11:18:12)
o paciente relata sintomas de doença cronica no ouvido ou na audiçao (por exemplo, otite, otite media serosa, perda de audiçao, perfuração do timpano).
0=não
1=sim
2=desconhece</t>
        </r>
      </text>
    </comment>
    <comment ref="AB1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ID#AAAA8kqdM9A
Asus    (2023-11-14 11:18:12)
pontuaçao picadar.</t>
        </r>
      </text>
    </comment>
    <comment ref="AC1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ID#AAAA8kqdM9M
Asus    (2023-11-14 11:18:12)
0=não
1=sim
2=desconhece</t>
        </r>
      </text>
    </comment>
    <comment ref="AD1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ID#AAAA8kqdM80
Asus    (2023-11-14 11:18:12)
0=não
1=sim
2=desconhecido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EVnYWvtWbUZJQnB2Bc/zMd29zw=="/>
    </ext>
  </extLst>
</comments>
</file>

<file path=xl/sharedStrings.xml><?xml version="1.0" encoding="utf-8"?>
<sst xmlns="http://schemas.openxmlformats.org/spreadsheetml/2006/main" count="217" uniqueCount="216">
  <si>
    <t>id_exame</t>
  </si>
  <si>
    <t>id</t>
  </si>
  <si>
    <t>nome</t>
  </si>
  <si>
    <t>dn</t>
  </si>
  <si>
    <t>da</t>
  </si>
  <si>
    <t>idade</t>
  </si>
  <si>
    <t>altura</t>
  </si>
  <si>
    <t>peso</t>
  </si>
  <si>
    <t>imc</t>
  </si>
  <si>
    <t>sexo</t>
  </si>
  <si>
    <t>etnia</t>
  </si>
  <si>
    <t>FeNO_nasaltest_nl_min</t>
  </si>
  <si>
    <t>FeNO_nasaltest_ppb</t>
  </si>
  <si>
    <t>FeNO_Offline</t>
  </si>
  <si>
    <t>PCD</t>
  </si>
  <si>
    <t>doença_nascimento</t>
  </si>
  <si>
    <t>tosse_umida_persistente</t>
  </si>
  <si>
    <t>congestao_nasal</t>
  </si>
  <si>
    <t>defeito_lateralidade</t>
  </si>
  <si>
    <t>tosse_persistente_infancia</t>
  </si>
  <si>
    <t>prematuridade</t>
  </si>
  <si>
    <t>doença_resp_baixa</t>
  </si>
  <si>
    <t>uti_neonatal</t>
  </si>
  <si>
    <t>situs_inversus</t>
  </si>
  <si>
    <t>defeito_cardiaco</t>
  </si>
  <si>
    <t>rinite</t>
  </si>
  <si>
    <t>doença_cronica</t>
  </si>
  <si>
    <t>picadar</t>
  </si>
  <si>
    <t>consanguinidadde</t>
  </si>
  <si>
    <t>teste_suor</t>
  </si>
  <si>
    <t>fvc_pre</t>
  </si>
  <si>
    <t>fvc_prd</t>
  </si>
  <si>
    <t>fev1_pre</t>
  </si>
  <si>
    <t>fev1_prd</t>
  </si>
  <si>
    <t>fev1_fvc_pre</t>
  </si>
  <si>
    <t>fev1_fvc_prd</t>
  </si>
  <si>
    <t>reprebd_6</t>
  </si>
  <si>
    <t>reprebd_8</t>
  </si>
  <si>
    <t>reprebd_10</t>
  </si>
  <si>
    <t>reprebd_12</t>
  </si>
  <si>
    <t>reprebd_14</t>
  </si>
  <si>
    <t>reprebd_16</t>
  </si>
  <si>
    <t>reprebd_18</t>
  </si>
  <si>
    <t>reprebd_20</t>
  </si>
  <si>
    <t>reprebd_22</t>
  </si>
  <si>
    <t>reprebd_24</t>
  </si>
  <si>
    <t>reprebd_26</t>
  </si>
  <si>
    <t>reprebd_28</t>
  </si>
  <si>
    <t>reprebd_30</t>
  </si>
  <si>
    <t>reprebd_32</t>
  </si>
  <si>
    <t>imprebd_6</t>
  </si>
  <si>
    <t>imprebd_8</t>
  </si>
  <si>
    <t>imprebd_10</t>
  </si>
  <si>
    <t>imprebd_12</t>
  </si>
  <si>
    <t>imprebd_14</t>
  </si>
  <si>
    <t>imprebd_16</t>
  </si>
  <si>
    <t>imprebd_18</t>
  </si>
  <si>
    <t>imprebd_20</t>
  </si>
  <si>
    <t>imprebd_22</t>
  </si>
  <si>
    <t>imprebd_24</t>
  </si>
  <si>
    <t>imprebd_26</t>
  </si>
  <si>
    <t>imprebd_28</t>
  </si>
  <si>
    <t>imprebd_30</t>
  </si>
  <si>
    <t>imprebd_32</t>
  </si>
  <si>
    <t>prebd_r</t>
  </si>
  <si>
    <t>prebd_c</t>
  </si>
  <si>
    <t>prebd_l</t>
  </si>
  <si>
    <t>prebd_fres</t>
  </si>
  <si>
    <t>te</t>
  </si>
  <si>
    <t>ti</t>
  </si>
  <si>
    <t>ttot</t>
  </si>
  <si>
    <t>te_ttot</t>
  </si>
  <si>
    <t>tfmax_e_teite</t>
  </si>
  <si>
    <t>fmax_e</t>
  </si>
  <si>
    <t>fmax_i</t>
  </si>
  <si>
    <t>vt</t>
  </si>
  <si>
    <t>fbr</t>
  </si>
  <si>
    <t>ree</t>
  </si>
  <si>
    <t>rei</t>
  </si>
  <si>
    <t>ree_rei</t>
  </si>
  <si>
    <t>ree_rei_vt</t>
  </si>
  <si>
    <t>r_tfmax_e</t>
  </si>
  <si>
    <t>r_tfmax_i</t>
  </si>
  <si>
    <t>drfmax</t>
  </si>
  <si>
    <t>rmax_e</t>
  </si>
  <si>
    <t>rmin_e</t>
  </si>
  <si>
    <t>dre</t>
  </si>
  <si>
    <t>rmax_i</t>
  </si>
  <si>
    <t>rmin_i</t>
  </si>
  <si>
    <t>dri</t>
  </si>
  <si>
    <t>rmean_e</t>
  </si>
  <si>
    <t>rmean_i</t>
  </si>
  <si>
    <t>drmean</t>
  </si>
  <si>
    <t>rmean</t>
  </si>
  <si>
    <t>arv</t>
  </si>
  <si>
    <t>arv_1</t>
  </si>
  <si>
    <t>arv_2</t>
  </si>
  <si>
    <t>xee</t>
  </si>
  <si>
    <t>xei</t>
  </si>
  <si>
    <t>xee_xei</t>
  </si>
  <si>
    <t>_xee_xei_vt</t>
  </si>
  <si>
    <t>x_tfmax_e_</t>
  </si>
  <si>
    <t>x_tfmax_i_</t>
  </si>
  <si>
    <t>dxfmax</t>
  </si>
  <si>
    <t>xmin_e</t>
  </si>
  <si>
    <t>xmax_e</t>
  </si>
  <si>
    <t>dxe</t>
  </si>
  <si>
    <t>xmin_i</t>
  </si>
  <si>
    <t>xmax_i</t>
  </si>
  <si>
    <t>dxi</t>
  </si>
  <si>
    <t>xmean_e</t>
  </si>
  <si>
    <t>xmean_i</t>
  </si>
  <si>
    <t>dxmean</t>
  </si>
  <si>
    <t>xmean</t>
  </si>
  <si>
    <t>axv</t>
  </si>
  <si>
    <t>axv_1</t>
  </si>
  <si>
    <t>axv_2</t>
  </si>
  <si>
    <t>zee</t>
  </si>
  <si>
    <t>zei</t>
  </si>
  <si>
    <t>zee_zei</t>
  </si>
  <si>
    <t>zee_zei_vt</t>
  </si>
  <si>
    <t>z_tfmax_e</t>
  </si>
  <si>
    <t>z_tfmax_i</t>
  </si>
  <si>
    <t>dzfmax</t>
  </si>
  <si>
    <t>zmin_e</t>
  </si>
  <si>
    <t>zmax_e</t>
  </si>
  <si>
    <t>dze</t>
  </si>
  <si>
    <t>zmin_i</t>
  </si>
  <si>
    <t>zmax_i</t>
  </si>
  <si>
    <t>dzi</t>
  </si>
  <si>
    <t>zmean_e</t>
  </si>
  <si>
    <t>zmean_i</t>
  </si>
  <si>
    <t>dzmean</t>
  </si>
  <si>
    <t>zmean</t>
  </si>
  <si>
    <t>azv</t>
  </si>
  <si>
    <t>azv_1</t>
  </si>
  <si>
    <t>azv_2</t>
  </si>
  <si>
    <t>vee</t>
  </si>
  <si>
    <t>vei</t>
  </si>
  <si>
    <t>tee</t>
  </si>
  <si>
    <t>tei</t>
  </si>
  <si>
    <t>tfmax_e</t>
  </si>
  <si>
    <t>tfmax_i</t>
  </si>
  <si>
    <t>trmax_e</t>
  </si>
  <si>
    <t>trmax_i</t>
  </si>
  <si>
    <t>trmin_e</t>
  </si>
  <si>
    <t>trmin_i</t>
  </si>
  <si>
    <t>txmin_e</t>
  </si>
  <si>
    <t>txmin_i</t>
  </si>
  <si>
    <t>txmax_e</t>
  </si>
  <si>
    <t>txmax_i</t>
  </si>
  <si>
    <t>dcp001</t>
  </si>
  <si>
    <t>ronald santos</t>
  </si>
  <si>
    <t>dcp002</t>
  </si>
  <si>
    <t>joao gabriel da silva nunes</t>
  </si>
  <si>
    <t>dcp003</t>
  </si>
  <si>
    <t>kevin adriano de oliveira</t>
  </si>
  <si>
    <t>dcp004</t>
  </si>
  <si>
    <t>dcp005</t>
  </si>
  <si>
    <t xml:space="preserve">maria fatima de paula  </t>
  </si>
  <si>
    <t>dcp006</t>
  </si>
  <si>
    <t xml:space="preserve">eliane beatriz correa alonso </t>
  </si>
  <si>
    <t>dcp007</t>
  </si>
  <si>
    <t xml:space="preserve">antonio rodrigo da silva </t>
  </si>
  <si>
    <t>dcp008</t>
  </si>
  <si>
    <t>arlete maria coutinho martins</t>
  </si>
  <si>
    <t>dcp009</t>
  </si>
  <si>
    <t>richard brendo dos santos ayres</t>
  </si>
  <si>
    <t>dcp010</t>
  </si>
  <si>
    <t xml:space="preserve">lorenzo mesquita wallauer </t>
  </si>
  <si>
    <t>dcp012</t>
  </si>
  <si>
    <t xml:space="preserve">alice silva lopes </t>
  </si>
  <si>
    <t>dcp013</t>
  </si>
  <si>
    <t xml:space="preserve">pedro henrique da silva correa </t>
  </si>
  <si>
    <t>dcp016</t>
  </si>
  <si>
    <t>maite muhlbach</t>
  </si>
  <si>
    <t>dcp017</t>
  </si>
  <si>
    <t>thamara medianeira brito dos santos</t>
  </si>
  <si>
    <t>dcp018</t>
  </si>
  <si>
    <t xml:space="preserve">luiza palma gonçalves </t>
  </si>
  <si>
    <t>dcp019</t>
  </si>
  <si>
    <t>dcp020</t>
  </si>
  <si>
    <t xml:space="preserve">luiza rosso santana </t>
  </si>
  <si>
    <t>dcp021</t>
  </si>
  <si>
    <t>mateus neumann dettmam</t>
  </si>
  <si>
    <t>dcp022</t>
  </si>
  <si>
    <t>dcp023</t>
  </si>
  <si>
    <t>lauren isabelly camboim lemos</t>
  </si>
  <si>
    <t>dcp_01</t>
  </si>
  <si>
    <t>dcp024</t>
  </si>
  <si>
    <t>dcp_02</t>
  </si>
  <si>
    <t>dcp025</t>
  </si>
  <si>
    <t xml:space="preserve">nicole vitoria rosa da silveira </t>
  </si>
  <si>
    <t>dcp_03</t>
  </si>
  <si>
    <t>dcp026</t>
  </si>
  <si>
    <t>gabriel luz de almeida lopes</t>
  </si>
  <si>
    <t>dcp_04</t>
  </si>
  <si>
    <t>dcp027</t>
  </si>
  <si>
    <t xml:space="preserve">leone nunes leao barcelos </t>
  </si>
  <si>
    <t>dcp_05</t>
  </si>
  <si>
    <t>dcp028</t>
  </si>
  <si>
    <t>davi lacerda dos santos abreu</t>
  </si>
  <si>
    <t>dcp_08</t>
  </si>
  <si>
    <t>dcp029</t>
  </si>
  <si>
    <t>vinicius amorim</t>
  </si>
  <si>
    <t>dcp_07</t>
  </si>
  <si>
    <t>dcp030</t>
  </si>
  <si>
    <t>yasmin sofia morin souza</t>
  </si>
  <si>
    <t>dcp_010</t>
  </si>
  <si>
    <t>dcp031</t>
  </si>
  <si>
    <t>matheus dos santos fagundes</t>
  </si>
  <si>
    <t>dcp_011</t>
  </si>
  <si>
    <t>dcp032</t>
  </si>
  <si>
    <t>lilian teixeira gomes</t>
  </si>
  <si>
    <t>dcp033</t>
  </si>
  <si>
    <t>andré oliveira melgar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</si>
</sst>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1" fillId="2" borderId="0" xfId="0" applyFont="1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1" fillId="3" borderId="0" xfId="0" applyFont="1" applyFill="1"/>
    <xf numFmtId="0" fontId="3" fillId="0" borderId="0" xfId="0" applyFont="1"/>
    <xf numFmtId="0" fontId="3" fillId="4" borderId="0" xfId="0" applyFont="1" applyFill="1"/>
    <xf numFmtId="14" fontId="3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5" borderId="0" xfId="0" applyFont="1" applyFill="1"/>
  </cellXfs>
  <cellStyles count="1">
    <cellStyle name="Normal" xfId="0" builtinId="0"/>
  </cellStyles>
  <dxfs count="2"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1000"/>
  <sheetViews>
    <sheetView tabSelected="1" workbookViewId="0">
      <pane xSplit="2" ySplit="1" topLeftCell="Q6" activePane="bottomRight" state="frozen"/>
      <selection pane="topRight" activeCell="C1" sqref="C1"/>
      <selection pane="bottomLeft" activeCell="A2" sqref="A2"/>
      <selection pane="bottomRight" activeCell="Y23" sqref="Y23"/>
    </sheetView>
  </sheetViews>
  <sheetFormatPr defaultColWidth="14.42578125" defaultRowHeight="15" customHeight="1" x14ac:dyDescent="0.25"/>
  <cols>
    <col min="1" max="2" width="8.7109375" customWidth="1"/>
    <col min="3" max="3" width="33" customWidth="1"/>
    <col min="4" max="4" width="11.7109375" customWidth="1"/>
    <col min="5" max="5" width="10.7109375" customWidth="1"/>
    <col min="6" max="6" width="12.5703125" customWidth="1"/>
    <col min="7" max="7" width="9.140625" customWidth="1"/>
    <col min="8" max="8" width="10.85546875" customWidth="1"/>
    <col min="9" max="9" width="12" customWidth="1"/>
    <col min="10" max="11" width="9.140625" customWidth="1"/>
    <col min="12" max="12" width="22.28515625" customWidth="1"/>
    <col min="13" max="13" width="19.7109375" customWidth="1"/>
    <col min="14" max="14" width="13.42578125" customWidth="1"/>
    <col min="15" max="15" width="7.140625" customWidth="1"/>
    <col min="16" max="16" width="18.85546875" customWidth="1"/>
    <col min="17" max="17" width="23.5703125" customWidth="1"/>
    <col min="18" max="18" width="15.5703125" customWidth="1"/>
    <col min="19" max="19" width="19.42578125" customWidth="1"/>
    <col min="20" max="20" width="25" customWidth="1"/>
    <col min="22" max="22" width="18" customWidth="1"/>
    <col min="23" max="23" width="12.140625" customWidth="1"/>
    <col min="24" max="24" width="13.5703125" customWidth="1"/>
    <col min="25" max="25" width="15.85546875" customWidth="1"/>
    <col min="26" max="26" width="9.140625" customWidth="1"/>
    <col min="27" max="27" width="14.7109375" customWidth="1"/>
    <col min="28" max="28" width="9.140625" customWidth="1"/>
    <col min="29" max="29" width="17.42578125" customWidth="1"/>
    <col min="30" max="34" width="10.28515625" customWidth="1"/>
    <col min="35" max="35" width="11.7109375" customWidth="1"/>
    <col min="36" max="36" width="11.85546875" customWidth="1"/>
    <col min="37" max="151" width="8.7109375" customWidth="1"/>
  </cols>
  <sheetData>
    <row r="1" spans="1:15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</row>
    <row r="2" spans="1:151" x14ac:dyDescent="0.25">
      <c r="A2" s="1"/>
      <c r="B2" s="1" t="s">
        <v>151</v>
      </c>
      <c r="C2" s="1" t="s">
        <v>152</v>
      </c>
      <c r="D2" s="2">
        <v>37493</v>
      </c>
      <c r="E2" s="2">
        <v>43038</v>
      </c>
      <c r="F2" s="4">
        <v>15.181382614647502</v>
      </c>
      <c r="G2" s="1">
        <v>167</v>
      </c>
      <c r="H2" s="1">
        <v>53.7</v>
      </c>
      <c r="I2" s="4">
        <v>19.254903366918857</v>
      </c>
      <c r="J2" s="1">
        <v>0</v>
      </c>
      <c r="K2" s="1">
        <v>2</v>
      </c>
      <c r="L2" s="1"/>
      <c r="M2" s="1">
        <v>2.2999999999999998</v>
      </c>
      <c r="N2" s="1"/>
      <c r="O2" s="1">
        <v>1</v>
      </c>
      <c r="P2" s="1">
        <v>0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2</v>
      </c>
      <c r="AC2" s="1">
        <v>1</v>
      </c>
      <c r="AD2" s="1">
        <v>2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x14ac:dyDescent="0.25">
      <c r="A3" s="1"/>
      <c r="B3" s="1" t="s">
        <v>153</v>
      </c>
      <c r="C3" s="1" t="s">
        <v>154</v>
      </c>
      <c r="D3" s="2">
        <v>40116</v>
      </c>
      <c r="E3" s="2">
        <v>43125</v>
      </c>
      <c r="F3" s="4">
        <v>8.2381930184804926</v>
      </c>
      <c r="G3" s="1">
        <v>120</v>
      </c>
      <c r="H3" s="1">
        <v>36.9</v>
      </c>
      <c r="I3" s="4">
        <v>25.625</v>
      </c>
      <c r="J3" s="1">
        <v>0</v>
      </c>
      <c r="K3" s="1">
        <v>1</v>
      </c>
      <c r="L3" s="1">
        <v>3.6</v>
      </c>
      <c r="M3" s="1">
        <v>11.8</v>
      </c>
      <c r="N3" s="1"/>
      <c r="O3" s="1">
        <v>1</v>
      </c>
      <c r="P3" s="1">
        <v>2</v>
      </c>
      <c r="Q3" s="1">
        <v>1</v>
      </c>
      <c r="R3" s="1">
        <v>1</v>
      </c>
      <c r="S3" s="1">
        <v>0</v>
      </c>
      <c r="T3" s="1">
        <v>1</v>
      </c>
      <c r="U3" s="1">
        <v>1</v>
      </c>
      <c r="V3" s="1">
        <v>1</v>
      </c>
      <c r="W3" s="1">
        <v>0</v>
      </c>
      <c r="X3" s="1">
        <v>0</v>
      </c>
      <c r="Y3" s="1">
        <v>0</v>
      </c>
      <c r="Z3" s="1">
        <v>1</v>
      </c>
      <c r="AA3" s="1">
        <v>1</v>
      </c>
      <c r="AB3" s="1">
        <v>6</v>
      </c>
      <c r="AC3" s="1">
        <v>1</v>
      </c>
      <c r="AD3" s="1">
        <v>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x14ac:dyDescent="0.25">
      <c r="A4" s="1"/>
      <c r="B4" s="1" t="s">
        <v>155</v>
      </c>
      <c r="C4" s="1" t="s">
        <v>156</v>
      </c>
      <c r="D4" s="2">
        <v>37374</v>
      </c>
      <c r="E4" s="2">
        <v>43167</v>
      </c>
      <c r="F4" s="4">
        <v>15.860369609856264</v>
      </c>
      <c r="G4" s="1">
        <v>167</v>
      </c>
      <c r="H4" s="1">
        <v>64.2</v>
      </c>
      <c r="I4" s="4">
        <v>23.019828606260536</v>
      </c>
      <c r="J4" s="1">
        <v>0</v>
      </c>
      <c r="K4" s="1">
        <v>1</v>
      </c>
      <c r="L4" s="1">
        <v>16.100000000000001</v>
      </c>
      <c r="M4" s="1">
        <v>50.5</v>
      </c>
      <c r="N4" s="1"/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0</v>
      </c>
      <c r="X4" s="1">
        <v>1</v>
      </c>
      <c r="Y4" s="1">
        <v>1</v>
      </c>
      <c r="Z4" s="1">
        <v>0</v>
      </c>
      <c r="AA4" s="1">
        <v>0</v>
      </c>
      <c r="AB4" s="1">
        <v>12</v>
      </c>
      <c r="AC4" s="1">
        <v>0</v>
      </c>
      <c r="AD4" s="1">
        <v>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x14ac:dyDescent="0.25">
      <c r="A5" s="1"/>
      <c r="B5" s="1" t="s">
        <v>157</v>
      </c>
      <c r="C5" s="1"/>
      <c r="D5" s="2">
        <v>36972</v>
      </c>
      <c r="E5" s="2">
        <v>43173</v>
      </c>
      <c r="F5" s="4">
        <v>16.977412731006162</v>
      </c>
      <c r="G5" s="1">
        <v>157</v>
      </c>
      <c r="H5" s="1">
        <v>49</v>
      </c>
      <c r="I5" s="4">
        <v>19.879102600511175</v>
      </c>
      <c r="J5" s="1">
        <v>1</v>
      </c>
      <c r="K5" s="1">
        <v>1</v>
      </c>
      <c r="L5" s="1"/>
      <c r="M5" s="1">
        <v>0.5</v>
      </c>
      <c r="N5" s="1"/>
      <c r="O5" s="1">
        <v>0</v>
      </c>
      <c r="P5" s="1">
        <v>0</v>
      </c>
      <c r="Q5" s="1">
        <v>1</v>
      </c>
      <c r="R5" s="1">
        <v>1</v>
      </c>
      <c r="S5" s="1">
        <v>0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0</v>
      </c>
      <c r="Z5" s="1">
        <v>1</v>
      </c>
      <c r="AA5" s="1">
        <v>1</v>
      </c>
      <c r="AB5" s="1">
        <v>6</v>
      </c>
      <c r="AC5" s="1">
        <v>1</v>
      </c>
      <c r="AD5" s="1">
        <v>2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x14ac:dyDescent="0.25">
      <c r="A6" s="1"/>
      <c r="B6" s="1" t="s">
        <v>158</v>
      </c>
      <c r="C6" s="1" t="s">
        <v>159</v>
      </c>
      <c r="D6" s="2">
        <v>22359</v>
      </c>
      <c r="E6" s="2">
        <v>43180</v>
      </c>
      <c r="F6" s="4">
        <v>57.00479123887748</v>
      </c>
      <c r="G6" s="1">
        <v>153</v>
      </c>
      <c r="H6" s="1">
        <v>48</v>
      </c>
      <c r="I6" s="4">
        <v>20.504933999743688</v>
      </c>
      <c r="J6" s="1">
        <v>1</v>
      </c>
      <c r="K6" s="1">
        <v>1</v>
      </c>
      <c r="L6" s="1">
        <v>8.6</v>
      </c>
      <c r="M6" s="1">
        <v>28</v>
      </c>
      <c r="N6" s="1"/>
      <c r="O6" s="1">
        <v>1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/>
      <c r="V6" s="1"/>
      <c r="W6" s="1"/>
      <c r="X6" s="1"/>
      <c r="Y6" s="1"/>
      <c r="Z6" s="1"/>
      <c r="AA6" s="1"/>
      <c r="AB6" s="1"/>
      <c r="AC6" s="1">
        <v>0</v>
      </c>
      <c r="AD6" s="1">
        <v>1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</row>
    <row r="7" spans="1:151" x14ac:dyDescent="0.25">
      <c r="A7" s="1"/>
      <c r="B7" s="1" t="s">
        <v>160</v>
      </c>
      <c r="C7" s="1" t="s">
        <v>161</v>
      </c>
      <c r="D7" s="2">
        <v>24568</v>
      </c>
      <c r="E7" s="2">
        <v>43194</v>
      </c>
      <c r="F7" s="4">
        <v>50.99520876112252</v>
      </c>
      <c r="G7" s="1">
        <v>156</v>
      </c>
      <c r="H7" s="1">
        <v>58.6</v>
      </c>
      <c r="I7" s="4">
        <v>24.079552925706771</v>
      </c>
      <c r="J7" s="1">
        <v>1</v>
      </c>
      <c r="K7" s="1">
        <v>1</v>
      </c>
      <c r="L7" s="1">
        <v>106.7</v>
      </c>
      <c r="M7" s="1">
        <v>348.5</v>
      </c>
      <c r="N7" s="1"/>
      <c r="O7" s="1">
        <v>0</v>
      </c>
      <c r="P7" s="1">
        <v>0</v>
      </c>
      <c r="Q7" s="1">
        <v>1</v>
      </c>
      <c r="R7" s="1">
        <v>1</v>
      </c>
      <c r="S7" s="1">
        <v>0</v>
      </c>
      <c r="T7" s="1">
        <v>1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5</v>
      </c>
      <c r="AC7" s="1">
        <v>0</v>
      </c>
      <c r="AD7" s="1">
        <v>2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1:151" x14ac:dyDescent="0.25">
      <c r="A8" s="1"/>
      <c r="B8" s="1" t="s">
        <v>162</v>
      </c>
      <c r="C8" s="1" t="s">
        <v>163</v>
      </c>
      <c r="D8" s="2">
        <v>28158</v>
      </c>
      <c r="E8" s="2">
        <v>43201</v>
      </c>
      <c r="F8" s="4">
        <v>41.185489390828202</v>
      </c>
      <c r="G8" s="1">
        <v>186</v>
      </c>
      <c r="H8" s="1">
        <v>95</v>
      </c>
      <c r="I8" s="4">
        <v>27.459821944733491</v>
      </c>
      <c r="J8" s="1">
        <v>0</v>
      </c>
      <c r="K8" s="1">
        <v>1</v>
      </c>
      <c r="L8" s="1">
        <v>2.2999999999999998</v>
      </c>
      <c r="M8" s="1">
        <v>7.7</v>
      </c>
      <c r="N8" s="1"/>
      <c r="O8" s="1">
        <v>1</v>
      </c>
      <c r="P8" s="1">
        <v>0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3</v>
      </c>
      <c r="AC8" s="1">
        <v>0</v>
      </c>
      <c r="AD8" s="1">
        <v>2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1:151" x14ac:dyDescent="0.25">
      <c r="A9" s="1"/>
      <c r="B9" s="1" t="s">
        <v>164</v>
      </c>
      <c r="C9" s="1" t="s">
        <v>165</v>
      </c>
      <c r="D9" s="2">
        <v>18122</v>
      </c>
      <c r="E9" s="2">
        <v>43201</v>
      </c>
      <c r="F9" s="4">
        <v>68.662559890485966</v>
      </c>
      <c r="G9" s="1">
        <v>162</v>
      </c>
      <c r="H9" s="1">
        <v>75</v>
      </c>
      <c r="I9" s="4">
        <v>28.577960676726104</v>
      </c>
      <c r="J9" s="1">
        <v>1</v>
      </c>
      <c r="K9" s="1">
        <v>1</v>
      </c>
      <c r="L9" s="1">
        <v>201.9</v>
      </c>
      <c r="M9" s="1">
        <v>659.7</v>
      </c>
      <c r="N9" s="1"/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/>
      <c r="V9" s="1"/>
      <c r="W9" s="1"/>
      <c r="X9" s="1"/>
      <c r="Y9" s="1"/>
      <c r="Z9" s="1"/>
      <c r="AA9" s="1"/>
      <c r="AB9" s="1"/>
      <c r="AC9" s="1">
        <v>0</v>
      </c>
      <c r="AD9" s="1">
        <v>2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1:151" x14ac:dyDescent="0.25">
      <c r="A10" s="1"/>
      <c r="B10" s="1" t="s">
        <v>166</v>
      </c>
      <c r="C10" s="1" t="s">
        <v>167</v>
      </c>
      <c r="D10" s="2">
        <v>38521</v>
      </c>
      <c r="E10" s="2">
        <v>43215</v>
      </c>
      <c r="F10" s="4">
        <v>12.851471594798083</v>
      </c>
      <c r="G10" s="1">
        <v>163</v>
      </c>
      <c r="H10" s="1">
        <v>58.4</v>
      </c>
      <c r="I10" s="4">
        <v>21.980503594414543</v>
      </c>
      <c r="J10" s="1">
        <v>0</v>
      </c>
      <c r="K10" s="1">
        <v>1</v>
      </c>
      <c r="L10" s="1">
        <v>306.60000000000002</v>
      </c>
      <c r="M10" s="1">
        <v>982.8</v>
      </c>
      <c r="N10" s="1"/>
      <c r="O10" s="1">
        <v>0</v>
      </c>
      <c r="P10" s="1">
        <v>0</v>
      </c>
      <c r="Q10" s="1">
        <v>1</v>
      </c>
      <c r="R10" s="1">
        <v>1</v>
      </c>
      <c r="S10" s="1">
        <v>0</v>
      </c>
      <c r="T10" s="1">
        <v>1</v>
      </c>
      <c r="U10" s="1">
        <v>1</v>
      </c>
      <c r="V10" s="1">
        <v>1</v>
      </c>
      <c r="W10" s="1">
        <v>0</v>
      </c>
      <c r="X10" s="1">
        <v>0</v>
      </c>
      <c r="Y10" s="1">
        <v>0</v>
      </c>
      <c r="Z10" s="1">
        <v>1</v>
      </c>
      <c r="AA10" s="1">
        <v>1</v>
      </c>
      <c r="AB10" s="1">
        <v>6</v>
      </c>
      <c r="AC10" s="1">
        <v>0</v>
      </c>
      <c r="AD10" s="1">
        <v>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1:151" x14ac:dyDescent="0.25">
      <c r="A11" s="1"/>
      <c r="B11" s="1" t="s">
        <v>168</v>
      </c>
      <c r="C11" s="1" t="s">
        <v>169</v>
      </c>
      <c r="D11" s="2">
        <v>41340</v>
      </c>
      <c r="E11" s="2">
        <v>43241</v>
      </c>
      <c r="F11" s="4">
        <v>5.204654346338125</v>
      </c>
      <c r="G11" s="1">
        <v>111.00000000000001</v>
      </c>
      <c r="H11" s="1">
        <v>21.1</v>
      </c>
      <c r="I11" s="4">
        <v>17.125233341449555</v>
      </c>
      <c r="J11" s="1">
        <v>0</v>
      </c>
      <c r="K11" s="1">
        <v>1</v>
      </c>
      <c r="L11" s="1">
        <v>140</v>
      </c>
      <c r="M11" s="1">
        <v>457.6</v>
      </c>
      <c r="N11" s="1"/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3</v>
      </c>
      <c r="AC11" s="1">
        <v>0</v>
      </c>
      <c r="AD11" s="1">
        <v>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2" spans="1:151" x14ac:dyDescent="0.25">
      <c r="A12" s="1"/>
      <c r="B12" s="1" t="s">
        <v>170</v>
      </c>
      <c r="C12" s="1" t="s">
        <v>171</v>
      </c>
      <c r="D12" s="2">
        <v>39165</v>
      </c>
      <c r="E12" s="2">
        <v>43306</v>
      </c>
      <c r="F12" s="4">
        <v>11.337440109514031</v>
      </c>
      <c r="G12" s="1">
        <v>140</v>
      </c>
      <c r="H12" s="1">
        <v>33.700000000000003</v>
      </c>
      <c r="I12" s="4">
        <v>17.19387755102041</v>
      </c>
      <c r="J12" s="1">
        <v>1</v>
      </c>
      <c r="K12" s="1">
        <v>1</v>
      </c>
      <c r="L12" s="1">
        <v>10.5</v>
      </c>
      <c r="M12" s="1">
        <v>33.799999999999997</v>
      </c>
      <c r="N12" s="1">
        <v>34.200000000000003</v>
      </c>
      <c r="O12" s="1">
        <v>1</v>
      </c>
      <c r="P12" s="1">
        <v>1</v>
      </c>
      <c r="Q12" s="1">
        <v>1</v>
      </c>
      <c r="R12" s="1">
        <v>1</v>
      </c>
      <c r="S12" s="1">
        <v>0</v>
      </c>
      <c r="T12" s="1">
        <v>1</v>
      </c>
      <c r="U12" s="1">
        <v>1</v>
      </c>
      <c r="V12" s="1">
        <v>1</v>
      </c>
      <c r="W12" s="1">
        <v>0</v>
      </c>
      <c r="X12" s="1">
        <v>1</v>
      </c>
      <c r="Y12" s="1">
        <v>0</v>
      </c>
      <c r="Z12" s="1">
        <v>0</v>
      </c>
      <c r="AA12" s="1">
        <v>1</v>
      </c>
      <c r="AB12" s="1">
        <v>9</v>
      </c>
      <c r="AC12" s="1">
        <v>1</v>
      </c>
      <c r="AD12" s="1">
        <v>1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</row>
    <row r="13" spans="1:151" x14ac:dyDescent="0.25">
      <c r="A13" s="1"/>
      <c r="B13" s="1" t="s">
        <v>172</v>
      </c>
      <c r="C13" s="1" t="s">
        <v>173</v>
      </c>
      <c r="D13" s="2">
        <v>39632</v>
      </c>
      <c r="E13" s="2">
        <v>43327</v>
      </c>
      <c r="F13" s="4">
        <v>10.116358658453114</v>
      </c>
      <c r="G13" s="1">
        <v>137</v>
      </c>
      <c r="H13" s="1">
        <v>39</v>
      </c>
      <c r="I13" s="4">
        <v>20.778944003409876</v>
      </c>
      <c r="J13" s="1">
        <v>0</v>
      </c>
      <c r="K13" s="1"/>
      <c r="L13" s="1">
        <v>24.5</v>
      </c>
      <c r="M13" s="1">
        <v>76.900000000000006</v>
      </c>
      <c r="N13" s="1">
        <v>75.599999999999994</v>
      </c>
      <c r="O13" s="1"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</row>
    <row r="14" spans="1:151" x14ac:dyDescent="0.25">
      <c r="A14" s="1"/>
      <c r="B14" s="1" t="s">
        <v>174</v>
      </c>
      <c r="C14" s="1" t="s">
        <v>175</v>
      </c>
      <c r="D14" s="2">
        <v>39694</v>
      </c>
      <c r="E14" s="2">
        <v>43353</v>
      </c>
      <c r="F14" s="4">
        <v>10.017796030116358</v>
      </c>
      <c r="G14" s="1">
        <v>145</v>
      </c>
      <c r="H14" s="1">
        <v>31.5</v>
      </c>
      <c r="I14" s="4">
        <v>14.982164090368608</v>
      </c>
      <c r="J14" s="1">
        <v>1</v>
      </c>
      <c r="K14" s="1"/>
      <c r="L14" s="1">
        <v>84.3</v>
      </c>
      <c r="M14" s="1">
        <v>265</v>
      </c>
      <c r="N14" s="1"/>
      <c r="O14" s="1">
        <v>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</row>
    <row r="15" spans="1:151" x14ac:dyDescent="0.25">
      <c r="A15" s="1"/>
      <c r="B15" s="1" t="s">
        <v>176</v>
      </c>
      <c r="C15" s="1" t="s">
        <v>177</v>
      </c>
      <c r="D15" s="2">
        <v>41589</v>
      </c>
      <c r="E15" s="2">
        <v>44859</v>
      </c>
      <c r="F15" s="4">
        <v>8.9527720739219721</v>
      </c>
      <c r="G15" s="1">
        <v>134</v>
      </c>
      <c r="H15" s="1">
        <v>26</v>
      </c>
      <c r="I15" s="4">
        <v>14.479839607930494</v>
      </c>
      <c r="J15" s="1">
        <v>1</v>
      </c>
      <c r="K15" s="1"/>
      <c r="L15" s="1">
        <v>77.02</v>
      </c>
      <c r="M15" s="1">
        <v>242.21</v>
      </c>
      <c r="N15" s="1">
        <v>265.2</v>
      </c>
      <c r="O15" s="1">
        <v>1</v>
      </c>
      <c r="P15" s="1"/>
      <c r="Q15" s="1"/>
      <c r="R15" s="1"/>
      <c r="S15" s="1"/>
      <c r="T15" s="1"/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1</v>
      </c>
      <c r="AA15" s="1">
        <v>1</v>
      </c>
      <c r="AB15" s="1">
        <v>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</row>
    <row r="16" spans="1:151" x14ac:dyDescent="0.25">
      <c r="A16" s="1"/>
      <c r="B16" s="1" t="s">
        <v>178</v>
      </c>
      <c r="C16" s="1" t="s">
        <v>179</v>
      </c>
      <c r="D16" s="2">
        <v>42029</v>
      </c>
      <c r="E16" s="2">
        <v>44882</v>
      </c>
      <c r="F16" s="4">
        <v>7.8110882956878847</v>
      </c>
      <c r="G16" s="1">
        <v>136</v>
      </c>
      <c r="H16" s="1">
        <v>34</v>
      </c>
      <c r="I16" s="4">
        <v>18.382352941176467</v>
      </c>
      <c r="J16" s="1">
        <v>1</v>
      </c>
      <c r="K16" s="1"/>
      <c r="L16" s="1">
        <v>14.58</v>
      </c>
      <c r="M16" s="1">
        <v>45.84</v>
      </c>
      <c r="N16" s="1">
        <v>44.4</v>
      </c>
      <c r="O16" s="1">
        <v>1</v>
      </c>
      <c r="P16" s="1"/>
      <c r="Q16" s="1"/>
      <c r="R16" s="1"/>
      <c r="S16" s="1"/>
      <c r="T16" s="1"/>
      <c r="U16" s="1">
        <v>1</v>
      </c>
      <c r="V16" s="1">
        <v>1</v>
      </c>
      <c r="W16" s="1">
        <v>1</v>
      </c>
      <c r="X16" s="1">
        <v>0</v>
      </c>
      <c r="Y16" s="1">
        <v>0</v>
      </c>
      <c r="Z16" s="1">
        <v>1</v>
      </c>
      <c r="AA16" s="1">
        <v>0</v>
      </c>
      <c r="AB16" s="1">
        <v>7</v>
      </c>
      <c r="AC16" s="1">
        <v>0</v>
      </c>
      <c r="AD16" s="1"/>
      <c r="AE16" s="1">
        <v>1.61</v>
      </c>
      <c r="AF16" s="1">
        <v>89</v>
      </c>
      <c r="AG16" s="1">
        <v>1.35</v>
      </c>
      <c r="AH16" s="1">
        <v>80</v>
      </c>
      <c r="AI16" s="1">
        <v>0.84</v>
      </c>
      <c r="AJ16" s="1">
        <v>92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</row>
    <row r="17" spans="1:151" x14ac:dyDescent="0.25">
      <c r="A17" s="1"/>
      <c r="B17" s="1" t="s">
        <v>180</v>
      </c>
      <c r="C17" s="1"/>
      <c r="D17" s="2"/>
      <c r="E17" s="2">
        <v>44335</v>
      </c>
      <c r="F17" s="4"/>
      <c r="G17" s="1"/>
      <c r="H17" s="1"/>
      <c r="I17" s="4"/>
      <c r="J17" s="1"/>
      <c r="K17" s="1"/>
      <c r="L17" s="1"/>
      <c r="M17" s="1"/>
      <c r="N17" s="1"/>
      <c r="O17" s="1"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3.8197999999999999</v>
      </c>
      <c r="AL17" s="1">
        <v>3.63076</v>
      </c>
      <c r="AM17" s="1">
        <v>3.3991099999999999</v>
      </c>
      <c r="AN17" s="1">
        <v>3.4410699999999999</v>
      </c>
      <c r="AO17" s="1">
        <v>3.3121200000000002</v>
      </c>
      <c r="AP17" s="1">
        <v>3.4503699999999999</v>
      </c>
      <c r="AQ17" s="1">
        <v>3.2858700000000001</v>
      </c>
      <c r="AR17" s="1">
        <v>3.3453400000000002</v>
      </c>
      <c r="AS17" s="1">
        <v>3.3319100000000001</v>
      </c>
      <c r="AT17" s="1">
        <v>3.3869400000000001</v>
      </c>
      <c r="AU17" s="1">
        <v>3.3224</v>
      </c>
      <c r="AV17" s="1">
        <v>3.27623</v>
      </c>
      <c r="AW17" s="1">
        <v>3.4931100000000002</v>
      </c>
      <c r="AX17" s="1">
        <v>3.3203800000000001</v>
      </c>
      <c r="AY17" s="1">
        <v>-1.17455</v>
      </c>
      <c r="AZ17" s="1">
        <v>-0.65575600000000001</v>
      </c>
      <c r="BA17" s="1">
        <v>-0.48816900000000002</v>
      </c>
      <c r="BB17" s="1">
        <v>-0.43807000000000001</v>
      </c>
      <c r="BC17" s="1">
        <v>-0.100552</v>
      </c>
      <c r="BD17" s="1">
        <v>-0.120507</v>
      </c>
      <c r="BE17" s="1">
        <v>0.1232</v>
      </c>
      <c r="BF17" s="1">
        <v>8.2253499999999993E-2</v>
      </c>
      <c r="BG17" s="1">
        <v>0.318971</v>
      </c>
      <c r="BH17" s="1">
        <v>0.48300700000000002</v>
      </c>
      <c r="BI17" s="1">
        <v>0.64651099999999995</v>
      </c>
      <c r="BJ17" s="1">
        <v>0.64517000000000002</v>
      </c>
      <c r="BK17" s="1">
        <v>0.66145900000000002</v>
      </c>
      <c r="BL17" s="1">
        <v>0.68172900000000003</v>
      </c>
      <c r="BM17" s="1">
        <v>3.4153899999999999</v>
      </c>
      <c r="BN17" s="1">
        <v>2.0028299999999999E-2</v>
      </c>
      <c r="BO17" s="1">
        <v>4.9952399999999997E-3</v>
      </c>
      <c r="BP17" s="1">
        <v>16.114000000000001</v>
      </c>
      <c r="BQ17" s="1">
        <v>1.27528</v>
      </c>
      <c r="BR17" s="1">
        <v>1.2085407499999998</v>
      </c>
      <c r="BS17" s="1">
        <v>2.4838225</v>
      </c>
      <c r="BT17" s="1">
        <v>0.51436474999999993</v>
      </c>
      <c r="BU17" s="1">
        <v>0.35752424999999999</v>
      </c>
      <c r="BV17" s="1">
        <v>-5.7465899999999994</v>
      </c>
      <c r="BW17" s="1">
        <v>7.4888649999999988</v>
      </c>
      <c r="BX17" s="1">
        <v>4.4534174999999996</v>
      </c>
      <c r="BY17" s="1">
        <v>24.343874999999997</v>
      </c>
      <c r="BZ17" s="1">
        <v>2.6091250000000001</v>
      </c>
      <c r="CA17" s="1">
        <v>2.7838525000000001</v>
      </c>
      <c r="CB17" s="1">
        <v>-0.17473070750000003</v>
      </c>
      <c r="CC17" s="1">
        <v>-6.4077574999999998E-2</v>
      </c>
      <c r="CD17" s="1">
        <v>3.7758199999999995</v>
      </c>
      <c r="CE17" s="1">
        <v>3.6981900000000003</v>
      </c>
      <c r="CF17" s="1">
        <v>7.7632041274999994E-2</v>
      </c>
      <c r="CG17" s="1">
        <v>4.1290075000000002</v>
      </c>
      <c r="CH17" s="1">
        <v>2.3964499999999997</v>
      </c>
      <c r="CI17" s="1">
        <v>1.7325524999999999</v>
      </c>
      <c r="CJ17" s="1">
        <v>3.8538600000000001</v>
      </c>
      <c r="CK17" s="1">
        <v>2.4185425</v>
      </c>
      <c r="CL17" s="1">
        <v>1.4353182499999999</v>
      </c>
      <c r="CM17" s="1">
        <v>3.2968999999999999</v>
      </c>
      <c r="CN17" s="1">
        <v>3.153035</v>
      </c>
      <c r="CO17" s="1">
        <v>0.14386732499999999</v>
      </c>
      <c r="CP17" s="1">
        <v>3.2387825000000001</v>
      </c>
      <c r="CQ17" s="1">
        <v>2.6348875</v>
      </c>
      <c r="CR17" s="1">
        <v>1.3685174999999998</v>
      </c>
      <c r="CS17" s="1">
        <v>8.6490349999999994E-2</v>
      </c>
      <c r="CT17" s="1">
        <v>-0.25768830500000001</v>
      </c>
      <c r="CU17" s="1">
        <v>-0.40972549999999996</v>
      </c>
      <c r="CV17" s="1">
        <v>0.15203714499999998</v>
      </c>
      <c r="CW17" s="1">
        <v>3.5204006750000003E-2</v>
      </c>
      <c r="CX17" s="1">
        <v>-0.36372300000000002</v>
      </c>
      <c r="CY17" s="1">
        <v>-0.61831775000000011</v>
      </c>
      <c r="CZ17" s="1">
        <v>0.25459399999999999</v>
      </c>
      <c r="DA17" s="1">
        <v>-0.82573649999999998</v>
      </c>
      <c r="DB17" s="1">
        <v>2.3544425000000001E-2</v>
      </c>
      <c r="DC17" s="1">
        <v>0.84928150000000002</v>
      </c>
      <c r="DD17" s="1">
        <v>-1.0018720000000001</v>
      </c>
      <c r="DE17" s="1">
        <v>2.6809462499999995E-2</v>
      </c>
      <c r="DF17" s="1">
        <v>1.02867975</v>
      </c>
      <c r="DG17" s="1">
        <v>-0.33672825000000001</v>
      </c>
      <c r="DH17" s="1">
        <v>-0.45051549999999996</v>
      </c>
      <c r="DI17" s="1">
        <v>0.11378700000000001</v>
      </c>
      <c r="DJ17" s="1">
        <v>-0.37990225</v>
      </c>
      <c r="DK17" s="1">
        <v>-0.98518024999999998</v>
      </c>
      <c r="DL17" s="1">
        <v>-0.90785634999999987</v>
      </c>
      <c r="DM17" s="1">
        <v>0.67958199999999991</v>
      </c>
      <c r="DN17" s="1">
        <v>2.6369574999999998</v>
      </c>
      <c r="DO17" s="1">
        <v>2.8383124999999998</v>
      </c>
      <c r="DP17" s="1">
        <v>-0.201353</v>
      </c>
      <c r="DQ17" s="1">
        <v>-6.9912649999999993E-2</v>
      </c>
      <c r="DR17" s="1">
        <v>3.8110825000000004</v>
      </c>
      <c r="DS17" s="1">
        <v>3.7606375000000001</v>
      </c>
      <c r="DT17" s="1">
        <v>5.0443950000000001E-2</v>
      </c>
      <c r="DU17" s="1">
        <v>2.5981025</v>
      </c>
      <c r="DV17" s="1">
        <v>4.1324100000000001</v>
      </c>
      <c r="DW17" s="1">
        <v>1.5343074999999999</v>
      </c>
      <c r="DX17" s="1">
        <v>2.6456049999999998</v>
      </c>
      <c r="DY17" s="1">
        <v>3.8567650000000002</v>
      </c>
      <c r="DZ17" s="1">
        <v>1.2111562500000002</v>
      </c>
      <c r="EA17" s="1">
        <v>3.3196699999999995</v>
      </c>
      <c r="EB17" s="1">
        <v>3.1907575000000001</v>
      </c>
      <c r="EC17" s="1">
        <v>0.12891417499999999</v>
      </c>
      <c r="ED17" s="1">
        <v>3.2631549999999998</v>
      </c>
      <c r="EE17" s="1">
        <v>2.7464474999999999</v>
      </c>
      <c r="EF17" s="1">
        <v>1.4323750000000002</v>
      </c>
      <c r="EG17" s="1">
        <v>-2.4150905E-2</v>
      </c>
      <c r="EH17" s="1">
        <v>1.711025</v>
      </c>
      <c r="EI17" s="1">
        <v>6.1644424999999998</v>
      </c>
      <c r="EJ17" s="1">
        <v>9.8016775000000003</v>
      </c>
      <c r="EK17" s="1">
        <v>11.0102075</v>
      </c>
      <c r="EL17" s="1">
        <v>11.462499999999999</v>
      </c>
      <c r="EM17" s="1">
        <v>10.366675000000001</v>
      </c>
      <c r="EN17" s="1">
        <v>11.518750000000001</v>
      </c>
      <c r="EO17" s="1">
        <v>10.441649999999999</v>
      </c>
      <c r="EP17" s="1">
        <v>11.9125</v>
      </c>
      <c r="EQ17" s="1">
        <v>10.585425000000001</v>
      </c>
      <c r="ER17" s="1">
        <v>11.53125</v>
      </c>
      <c r="ES17" s="1">
        <v>10.2479</v>
      </c>
      <c r="ET17" s="1">
        <v>11.910399999999999</v>
      </c>
      <c r="EU17" s="1">
        <v>10.572900000000001</v>
      </c>
    </row>
    <row r="18" spans="1:151" x14ac:dyDescent="0.25">
      <c r="A18" s="1"/>
      <c r="B18" s="1" t="s">
        <v>181</v>
      </c>
      <c r="C18" s="1" t="s">
        <v>182</v>
      </c>
      <c r="D18" s="2">
        <v>42011</v>
      </c>
      <c r="E18" s="2">
        <v>44534</v>
      </c>
      <c r="F18" s="4">
        <v>6.9075975359342916</v>
      </c>
      <c r="G18" s="1">
        <v>113.99999999999999</v>
      </c>
      <c r="H18" s="1">
        <v>18</v>
      </c>
      <c r="I18" s="4">
        <v>13.850415512465375</v>
      </c>
      <c r="J18" s="1">
        <v>1</v>
      </c>
      <c r="K18" s="1"/>
      <c r="L18" s="1">
        <v>11.3</v>
      </c>
      <c r="M18" s="1">
        <v>35.5</v>
      </c>
      <c r="N18" s="1"/>
      <c r="O18" s="1">
        <v>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>
        <v>6.8891</v>
      </c>
      <c r="AL18" s="1">
        <v>6.5451300000000003</v>
      </c>
      <c r="AM18" s="1">
        <v>6.5642199999999997</v>
      </c>
      <c r="AN18" s="1">
        <v>6.4775900000000002</v>
      </c>
      <c r="AO18" s="1">
        <v>6.7112800000000004</v>
      </c>
      <c r="AP18" s="1">
        <v>6.2941900000000004</v>
      </c>
      <c r="AQ18" s="1">
        <v>6.46943</v>
      </c>
      <c r="AR18" s="1">
        <v>6.1885199999999996</v>
      </c>
      <c r="AS18" s="1">
        <v>6.0384399999999996</v>
      </c>
      <c r="AT18" s="1">
        <v>6.3202100000000003</v>
      </c>
      <c r="AU18" s="1">
        <v>6.3968999999999996</v>
      </c>
      <c r="AV18" s="1">
        <v>6.38964</v>
      </c>
      <c r="AW18" s="1">
        <v>6.5166700000000004</v>
      </c>
      <c r="AX18" s="1">
        <v>6.6119700000000003</v>
      </c>
      <c r="AY18" s="1">
        <v>-2.016</v>
      </c>
      <c r="AZ18" s="1">
        <v>-1.17675</v>
      </c>
      <c r="BA18" s="1">
        <v>-0.719781</v>
      </c>
      <c r="BB18" s="1">
        <v>-0.33903699999999998</v>
      </c>
      <c r="BC18" s="1">
        <v>7.1796200000000003E-3</v>
      </c>
      <c r="BD18" s="1">
        <v>0.17888200000000001</v>
      </c>
      <c r="BE18" s="1">
        <v>0.30226700000000001</v>
      </c>
      <c r="BF18" s="1">
        <v>0.51185999999999998</v>
      </c>
      <c r="BG18" s="1">
        <v>0.87548400000000004</v>
      </c>
      <c r="BH18" s="1">
        <v>1.29644</v>
      </c>
      <c r="BI18" s="1">
        <v>1.3114300000000001</v>
      </c>
      <c r="BJ18" s="1">
        <v>1.78678</v>
      </c>
      <c r="BK18" s="1">
        <v>1.9532</v>
      </c>
      <c r="BL18" s="1">
        <v>2.3579500000000002</v>
      </c>
      <c r="BM18" s="1">
        <v>6.4580900000000003</v>
      </c>
      <c r="BN18" s="1">
        <v>1.04248E-2</v>
      </c>
      <c r="BO18" s="1">
        <v>1.25317E-2</v>
      </c>
      <c r="BP18" s="1">
        <v>13.9917</v>
      </c>
      <c r="BQ18" s="1">
        <v>1.5011479999999999</v>
      </c>
      <c r="BR18" s="1">
        <v>1.1364819999999998</v>
      </c>
      <c r="BS18" s="1">
        <v>2.6376279999999999</v>
      </c>
      <c r="BT18" s="1">
        <v>0.56124139999999989</v>
      </c>
      <c r="BU18" s="1">
        <v>0.32557020000000003</v>
      </c>
      <c r="BV18" s="1">
        <v>-0.49742360000000002</v>
      </c>
      <c r="BW18" s="1">
        <v>0.7221702000000001</v>
      </c>
      <c r="BX18" s="1">
        <v>0.5332576</v>
      </c>
      <c r="BY18" s="1">
        <v>23.475519999999999</v>
      </c>
      <c r="BZ18" s="1">
        <v>5.7329499999999998</v>
      </c>
      <c r="CA18" s="1">
        <v>5.5813059999999997</v>
      </c>
      <c r="CB18" s="1">
        <v>0.15164616</v>
      </c>
      <c r="CC18" s="1">
        <v>0.161231284</v>
      </c>
      <c r="CD18" s="1">
        <v>6.5869419999999987</v>
      </c>
      <c r="CE18" s="1">
        <v>6.1643039999999996</v>
      </c>
      <c r="CF18" s="1">
        <v>0.42263620000000002</v>
      </c>
      <c r="CG18" s="1">
        <v>6.8984819999999996</v>
      </c>
      <c r="CH18" s="1">
        <v>5.3107319999999998</v>
      </c>
      <c r="CI18" s="1">
        <v>1.5877500000000002</v>
      </c>
      <c r="CJ18" s="1">
        <v>6.3575520000000001</v>
      </c>
      <c r="CK18" s="1">
        <v>5.3408379999999998</v>
      </c>
      <c r="CL18" s="1">
        <v>1.0167154</v>
      </c>
      <c r="CM18" s="1">
        <v>6.2160159999999998</v>
      </c>
      <c r="CN18" s="1">
        <v>5.8905520000000005</v>
      </c>
      <c r="CO18" s="1">
        <v>0.32546439999999999</v>
      </c>
      <c r="CP18" s="1">
        <v>6.097322000000001</v>
      </c>
      <c r="CQ18" s="1">
        <v>-0.21312740000000002</v>
      </c>
      <c r="CR18" s="1">
        <v>1.9789480000000002</v>
      </c>
      <c r="CS18" s="1">
        <v>0.93776879999999996</v>
      </c>
      <c r="CT18" s="1">
        <v>-0.37796046</v>
      </c>
      <c r="CU18" s="1">
        <v>-1.1845152000000001</v>
      </c>
      <c r="CV18" s="1">
        <v>0.80655699999999997</v>
      </c>
      <c r="CW18" s="1">
        <v>1.806054</v>
      </c>
      <c r="CX18" s="1">
        <v>-1.217932</v>
      </c>
      <c r="CY18" s="1">
        <v>-1.0011310000000002</v>
      </c>
      <c r="CZ18" s="1">
        <v>-0.21680202000000004</v>
      </c>
      <c r="DA18" s="1">
        <v>-1.7894239999999999</v>
      </c>
      <c r="DB18" s="1">
        <v>-0.16258331999999998</v>
      </c>
      <c r="DC18" s="1">
        <v>1.6268379999999998</v>
      </c>
      <c r="DD18" s="1">
        <v>-1.4773860000000001</v>
      </c>
      <c r="DE18" s="1">
        <v>-0.34926018000000003</v>
      </c>
      <c r="DF18" s="1">
        <v>1.128126</v>
      </c>
      <c r="DG18" s="1">
        <v>-0.98146860000000002</v>
      </c>
      <c r="DH18" s="1">
        <v>-0.9184114000000001</v>
      </c>
      <c r="DI18" s="1">
        <v>-6.30574E-2</v>
      </c>
      <c r="DJ18" s="1">
        <v>-0.9346734000000001</v>
      </c>
      <c r="DK18" s="1">
        <v>9.3975740000000016E-2</v>
      </c>
      <c r="DL18" s="1">
        <v>0.28382306000000002</v>
      </c>
      <c r="DM18" s="1">
        <v>-0.16464960000000001</v>
      </c>
      <c r="DN18" s="1">
        <v>5.7664619999999998</v>
      </c>
      <c r="DO18" s="1">
        <v>5.7202060000000001</v>
      </c>
      <c r="DP18" s="1">
        <v>4.6254900000000002E-2</v>
      </c>
      <c r="DQ18" s="1">
        <v>-7.7623339999999999E-2</v>
      </c>
      <c r="DR18" s="1">
        <v>6.7085319999999999</v>
      </c>
      <c r="DS18" s="1">
        <v>6.2607359999999996</v>
      </c>
      <c r="DT18" s="1">
        <v>0.44779600000000003</v>
      </c>
      <c r="DU18" s="1">
        <v>5.6263920000000001</v>
      </c>
      <c r="DV18" s="1">
        <v>6.9098360000000003</v>
      </c>
      <c r="DW18" s="1">
        <v>1.283444</v>
      </c>
      <c r="DX18" s="1">
        <v>5.5508499999999996</v>
      </c>
      <c r="DY18" s="1">
        <v>6.3876999999999997</v>
      </c>
      <c r="DZ18" s="1">
        <v>0.83685000000000009</v>
      </c>
      <c r="EA18" s="1">
        <v>6.3008920000000002</v>
      </c>
      <c r="EB18" s="1">
        <v>5.9742160000000002</v>
      </c>
      <c r="EC18" s="1">
        <v>0.32667640000000003</v>
      </c>
      <c r="ED18" s="1">
        <v>6.17659</v>
      </c>
      <c r="EE18" s="1">
        <v>-0.22838759999999997</v>
      </c>
      <c r="EF18" s="1">
        <v>1.9200780000000002</v>
      </c>
      <c r="EG18" s="1">
        <v>0.97191300000000003</v>
      </c>
      <c r="EH18" s="1">
        <v>-0.18277037599999998</v>
      </c>
      <c r="EI18" s="1">
        <v>0.35048699999999994</v>
      </c>
      <c r="EJ18" s="1">
        <v>10.277974</v>
      </c>
      <c r="EK18" s="1">
        <v>11.414449999999999</v>
      </c>
      <c r="EL18" s="1">
        <v>11.86388</v>
      </c>
      <c r="EM18" s="1">
        <v>10.849320000000001</v>
      </c>
      <c r="EN18" s="1">
        <v>12.123619999999999</v>
      </c>
      <c r="EO18" s="1">
        <v>10.899319999999999</v>
      </c>
      <c r="EP18" s="1">
        <v>12.295146000000001</v>
      </c>
      <c r="EQ18" s="1">
        <v>10.99722</v>
      </c>
      <c r="ER18" s="1">
        <v>11.641666000000001</v>
      </c>
      <c r="ES18" s="1">
        <v>11.219446000000001</v>
      </c>
      <c r="ET18" s="1">
        <v>12.62848</v>
      </c>
      <c r="EU18" s="1">
        <v>10.661814</v>
      </c>
    </row>
    <row r="19" spans="1:151" x14ac:dyDescent="0.25">
      <c r="A19" s="1"/>
      <c r="B19" s="1" t="s">
        <v>183</v>
      </c>
      <c r="C19" s="1" t="s">
        <v>184</v>
      </c>
      <c r="D19" s="2">
        <v>39188</v>
      </c>
      <c r="E19" s="2">
        <v>44520</v>
      </c>
      <c r="F19" s="4">
        <v>14.598220396988363</v>
      </c>
      <c r="G19" s="1">
        <v>171</v>
      </c>
      <c r="H19" s="1">
        <v>50.5</v>
      </c>
      <c r="I19" s="4">
        <v>17.27027119455559</v>
      </c>
      <c r="J19" s="1">
        <v>0</v>
      </c>
      <c r="K19" s="1"/>
      <c r="L19" s="1">
        <v>2</v>
      </c>
      <c r="M19" s="1">
        <v>6.3</v>
      </c>
      <c r="N19" s="1">
        <v>8.4</v>
      </c>
      <c r="O19" s="1">
        <v>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>
        <v>2.47715</v>
      </c>
      <c r="AL19" s="1">
        <v>2.3887399999999999</v>
      </c>
      <c r="AM19" s="1">
        <v>2.13531</v>
      </c>
      <c r="AN19" s="1">
        <v>2.3990900000000002</v>
      </c>
      <c r="AO19" s="1">
        <v>2.1362100000000002</v>
      </c>
      <c r="AP19" s="1">
        <v>2.3748300000000002</v>
      </c>
      <c r="AQ19" s="1">
        <v>2.4457399999999998</v>
      </c>
      <c r="AR19" s="1">
        <v>2.48089</v>
      </c>
      <c r="AS19" s="1">
        <v>2.4351699999999998</v>
      </c>
      <c r="AT19" s="1">
        <v>2.5291700000000001</v>
      </c>
      <c r="AU19" s="1">
        <v>2.25813</v>
      </c>
      <c r="AV19" s="1">
        <v>2.5129100000000002</v>
      </c>
      <c r="AW19" s="1">
        <v>2.4942799999999998</v>
      </c>
      <c r="AX19" s="1">
        <v>2.62304</v>
      </c>
      <c r="AY19" s="1">
        <v>-0.99684600000000001</v>
      </c>
      <c r="AZ19" s="1">
        <v>-0.41232799999999997</v>
      </c>
      <c r="BA19" s="1">
        <v>7.2323799999999994E-2</v>
      </c>
      <c r="BB19" s="1">
        <v>0.26567099999999999</v>
      </c>
      <c r="BC19" s="1">
        <v>0.51720500000000003</v>
      </c>
      <c r="BD19" s="1">
        <v>0.437639</v>
      </c>
      <c r="BE19" s="1">
        <v>0.62231300000000001</v>
      </c>
      <c r="BF19" s="1">
        <v>0.63889099999999999</v>
      </c>
      <c r="BG19" s="1">
        <v>0.796512</v>
      </c>
      <c r="BH19" s="1">
        <v>0.90640299999999996</v>
      </c>
      <c r="BI19" s="1">
        <v>1.13611</v>
      </c>
      <c r="BJ19" s="1">
        <v>1.1331899999999999</v>
      </c>
      <c r="BK19" s="1">
        <v>1.2753099999999999</v>
      </c>
      <c r="BL19" s="1">
        <v>1.5781000000000001</v>
      </c>
      <c r="BM19" s="1">
        <v>2.4064800000000002</v>
      </c>
      <c r="BN19" s="1">
        <v>2.4594999999999999E-2</v>
      </c>
      <c r="BO19" s="1">
        <v>8.3519700000000002E-3</v>
      </c>
      <c r="BP19" s="1">
        <v>11.114000000000001</v>
      </c>
      <c r="BQ19" s="1">
        <v>2.0748533333333334</v>
      </c>
      <c r="BR19" s="1">
        <v>1.79948</v>
      </c>
      <c r="BS19" s="1">
        <v>3.8743366666666668</v>
      </c>
      <c r="BT19" s="1">
        <v>0.53645766666666672</v>
      </c>
      <c r="BU19" s="1">
        <v>0.23085766666666666</v>
      </c>
      <c r="BV19" s="1">
        <v>-3.9283166666666669</v>
      </c>
      <c r="BW19" s="1">
        <v>6.0790999999999995</v>
      </c>
      <c r="BX19" s="1">
        <v>4.3050166666666669</v>
      </c>
      <c r="BY19" s="1">
        <v>15.6911</v>
      </c>
      <c r="BZ19" s="1">
        <v>1.6188333333333336</v>
      </c>
      <c r="CA19" s="1">
        <v>1.5296933333333333</v>
      </c>
      <c r="CB19" s="1">
        <v>8.9141299999999993E-2</v>
      </c>
      <c r="CC19" s="1">
        <v>1.8781766666666668E-2</v>
      </c>
      <c r="CD19" s="1">
        <v>2.78749</v>
      </c>
      <c r="CE19" s="1">
        <v>2.1394899999999999</v>
      </c>
      <c r="CF19" s="1">
        <v>0.64800000000000002</v>
      </c>
      <c r="CG19" s="1">
        <v>3.0319599999999998</v>
      </c>
      <c r="CH19" s="1">
        <v>1.49976</v>
      </c>
      <c r="CI19" s="1">
        <v>1.5322033333333334</v>
      </c>
      <c r="CJ19" s="1">
        <v>2.3969233333333335</v>
      </c>
      <c r="CK19" s="1">
        <v>1.2127766666666666</v>
      </c>
      <c r="CL19" s="1">
        <v>1.18415</v>
      </c>
      <c r="CM19" s="1">
        <v>2.375973333333333</v>
      </c>
      <c r="CN19" s="1">
        <v>1.7612766666666666</v>
      </c>
      <c r="CO19" s="1">
        <v>0.61469866666666662</v>
      </c>
      <c r="CP19" s="1">
        <v>2.1054400000000002</v>
      </c>
      <c r="CQ19" s="1">
        <v>-0.31270666666666663</v>
      </c>
      <c r="CR19" s="1">
        <v>4.811163333333333</v>
      </c>
      <c r="CS19" s="1">
        <v>0.96895166666666677</v>
      </c>
      <c r="CT19" s="1">
        <v>0.30582233333333336</v>
      </c>
      <c r="CU19" s="1">
        <v>6.7400533333333332E-2</v>
      </c>
      <c r="CV19" s="1">
        <v>0.23842166666666667</v>
      </c>
      <c r="CW19" s="1">
        <v>5.1811200000000002E-2</v>
      </c>
      <c r="CX19" s="1">
        <v>-6.7913066666666674E-2</v>
      </c>
      <c r="CY19" s="1">
        <v>-0.23605756666666666</v>
      </c>
      <c r="CZ19" s="1">
        <v>0.16814493333333336</v>
      </c>
      <c r="DA19" s="1">
        <v>-0.25507799999999997</v>
      </c>
      <c r="DB19" s="1">
        <v>0.40280033333333337</v>
      </c>
      <c r="DC19" s="1">
        <v>0.65787800000000007</v>
      </c>
      <c r="DD19" s="1">
        <v>-0.55162900000000004</v>
      </c>
      <c r="DE19" s="1">
        <v>0.31864266666666669</v>
      </c>
      <c r="DF19" s="1">
        <v>0.87027100000000013</v>
      </c>
      <c r="DG19" s="1">
        <v>9.8398300000000008E-2</v>
      </c>
      <c r="DH19" s="1">
        <v>-8.7094333333333329E-2</v>
      </c>
      <c r="DI19" s="1">
        <v>0.18549266666666667</v>
      </c>
      <c r="DJ19" s="1">
        <v>1.1486376666666666E-2</v>
      </c>
      <c r="DK19" s="1">
        <v>-0.9030800000000001</v>
      </c>
      <c r="DL19" s="1">
        <v>0.49035666666666672</v>
      </c>
      <c r="DM19" s="1">
        <v>0.40227526666666669</v>
      </c>
      <c r="DN19" s="1">
        <v>1.6521233333333332</v>
      </c>
      <c r="DO19" s="1">
        <v>1.5468199999999996</v>
      </c>
      <c r="DP19" s="1">
        <v>0.10530473333333334</v>
      </c>
      <c r="DQ19" s="1">
        <v>2.1654566666666663E-2</v>
      </c>
      <c r="DR19" s="1">
        <v>2.7930733333333335</v>
      </c>
      <c r="DS19" s="1">
        <v>2.1912199999999999</v>
      </c>
      <c r="DT19" s="1">
        <v>0.60185033333333326</v>
      </c>
      <c r="DU19" s="1">
        <v>1.5243366666666667</v>
      </c>
      <c r="DV19" s="1">
        <v>3.0603266666666666</v>
      </c>
      <c r="DW19" s="1">
        <v>1.5359833333333333</v>
      </c>
      <c r="DX19" s="1">
        <v>1.3496433333333335</v>
      </c>
      <c r="DY19" s="1">
        <v>2.4199666666666668</v>
      </c>
      <c r="DZ19" s="1">
        <v>1.0703199999999999</v>
      </c>
      <c r="EA19" s="1">
        <v>2.378743333333333</v>
      </c>
      <c r="EB19" s="1">
        <v>1.7667166666666667</v>
      </c>
      <c r="EC19" s="1">
        <v>0.61202666666666661</v>
      </c>
      <c r="ED19" s="1">
        <v>2.1061833333333335</v>
      </c>
      <c r="EE19" s="1">
        <v>-0.17952366666666664</v>
      </c>
      <c r="EF19" s="1">
        <v>4.8443399999999999</v>
      </c>
      <c r="EG19" s="1">
        <v>0.89265333333333319</v>
      </c>
      <c r="EH19" s="1">
        <v>0.49571266666666675</v>
      </c>
      <c r="EI19" s="1">
        <v>4.8007299999999997</v>
      </c>
      <c r="EJ19" s="1">
        <v>9.783669999999999</v>
      </c>
      <c r="EK19" s="1">
        <v>11.583133333333331</v>
      </c>
      <c r="EL19" s="1">
        <v>12.072233333333335</v>
      </c>
      <c r="EM19" s="1">
        <v>10.480533333333332</v>
      </c>
      <c r="EN19" s="1">
        <v>12.491666666666665</v>
      </c>
      <c r="EO19" s="1">
        <v>10.3528</v>
      </c>
      <c r="EP19" s="1">
        <v>12.777766666666666</v>
      </c>
      <c r="EQ19" s="1">
        <v>11.1639</v>
      </c>
      <c r="ER19" s="1">
        <v>12.319433333333334</v>
      </c>
      <c r="ES19" s="1">
        <v>10.594433333333333</v>
      </c>
      <c r="ET19" s="1">
        <v>13.172233333333333</v>
      </c>
      <c r="EU19" s="1">
        <v>10.366666666666667</v>
      </c>
    </row>
    <row r="20" spans="1:151" x14ac:dyDescent="0.25">
      <c r="A20" s="1"/>
      <c r="B20" s="1" t="s">
        <v>185</v>
      </c>
      <c r="C20" s="1"/>
      <c r="D20" s="2"/>
      <c r="E20" s="2">
        <v>42576</v>
      </c>
      <c r="F20" s="4"/>
      <c r="G20" s="1"/>
      <c r="H20" s="1"/>
      <c r="I20" s="4"/>
      <c r="J20" s="1"/>
      <c r="K20" s="1"/>
      <c r="L20" s="1"/>
      <c r="M20" s="1"/>
      <c r="N20" s="1"/>
      <c r="O20" s="1"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>
        <v>3.7087599999999998</v>
      </c>
      <c r="AL20" s="1">
        <v>3.6742900000000001</v>
      </c>
      <c r="AM20" s="1">
        <v>3.4590000000000001</v>
      </c>
      <c r="AN20" s="1">
        <v>3.5390600000000001</v>
      </c>
      <c r="AO20" s="1">
        <v>3.7122899999999999</v>
      </c>
      <c r="AP20" s="1">
        <v>3.5057299999999998</v>
      </c>
      <c r="AQ20" s="1">
        <v>3.5712700000000002</v>
      </c>
      <c r="AR20" s="1">
        <v>3.6896599999999999</v>
      </c>
      <c r="AS20" s="1">
        <v>3.7048999999999999</v>
      </c>
      <c r="AT20" s="1">
        <v>3.7760400000000001</v>
      </c>
      <c r="AU20" s="1">
        <v>3.78992</v>
      </c>
      <c r="AV20" s="1">
        <v>3.7974999999999999</v>
      </c>
      <c r="AW20" s="1">
        <v>3.6621700000000001</v>
      </c>
      <c r="AX20" s="1">
        <v>3.7222200000000001</v>
      </c>
      <c r="AY20" s="1">
        <v>-1.1564000000000001</v>
      </c>
      <c r="AZ20" s="1">
        <v>-0.73648400000000003</v>
      </c>
      <c r="BA20" s="1">
        <v>-0.39315600000000001</v>
      </c>
      <c r="BB20" s="1">
        <v>-6.4435800000000001E-2</v>
      </c>
      <c r="BC20" s="1">
        <v>0.13597799999999999</v>
      </c>
      <c r="BD20" s="1">
        <v>0.15662000000000001</v>
      </c>
      <c r="BE20" s="1">
        <v>0.51160099999999997</v>
      </c>
      <c r="BF20" s="1">
        <v>0.53745799999999999</v>
      </c>
      <c r="BG20" s="1">
        <v>0.81342899999999996</v>
      </c>
      <c r="BH20" s="1">
        <v>0.82189800000000002</v>
      </c>
      <c r="BI20" s="1">
        <v>0.99829000000000001</v>
      </c>
      <c r="BJ20" s="1">
        <v>1.0496700000000001</v>
      </c>
      <c r="BK20" s="1">
        <v>1.2038599999999999</v>
      </c>
      <c r="BL20" s="1">
        <v>1.3266</v>
      </c>
      <c r="BM20" s="1">
        <v>3.6652</v>
      </c>
      <c r="BN20" s="1">
        <v>1.8280399999999999E-2</v>
      </c>
      <c r="BO20" s="1">
        <v>8.0353300000000003E-3</v>
      </c>
      <c r="BP20" s="1">
        <v>13.247299999999999</v>
      </c>
      <c r="BQ20" s="1">
        <v>1.0585656666666667</v>
      </c>
      <c r="BR20" s="1">
        <v>0.87172099999999997</v>
      </c>
      <c r="BS20" s="1">
        <v>1.9302866666666667</v>
      </c>
      <c r="BT20" s="1">
        <v>0.55013366666666663</v>
      </c>
      <c r="BU20" s="1">
        <v>0.43600100000000003</v>
      </c>
      <c r="BV20" s="1">
        <v>-0.44565100000000002</v>
      </c>
      <c r="BW20" s="1">
        <v>0.64756633333333324</v>
      </c>
      <c r="BX20" s="1">
        <v>0.35548299999999999</v>
      </c>
      <c r="BY20" s="1">
        <v>33.766100000000002</v>
      </c>
      <c r="BZ20" s="1">
        <v>3.3980099999999998</v>
      </c>
      <c r="CA20" s="1">
        <v>3.2582399999999994</v>
      </c>
      <c r="CB20" s="1">
        <v>0.13977000000000001</v>
      </c>
      <c r="CC20" s="1">
        <v>0.39031733333333335</v>
      </c>
      <c r="CD20" s="1">
        <v>3.8428166666666663</v>
      </c>
      <c r="CE20" s="1">
        <v>3.8884366666666668</v>
      </c>
      <c r="CF20" s="1">
        <v>-4.5625416666666668E-2</v>
      </c>
      <c r="CG20" s="1">
        <v>3.9774266666666667</v>
      </c>
      <c r="CH20" s="1">
        <v>3.0834666666666664</v>
      </c>
      <c r="CI20" s="1">
        <v>0.89395633333333324</v>
      </c>
      <c r="CJ20" s="1">
        <v>4.0118633333333333</v>
      </c>
      <c r="CK20" s="1">
        <v>3.0566633333333333</v>
      </c>
      <c r="CL20" s="1">
        <v>0.9551993333333334</v>
      </c>
      <c r="CM20" s="1">
        <v>3.5863399999999999</v>
      </c>
      <c r="CN20" s="1">
        <v>3.5571766666666669</v>
      </c>
      <c r="CO20" s="1">
        <v>2.9164266666666671E-2</v>
      </c>
      <c r="CP20" s="1">
        <v>3.6107900000000002</v>
      </c>
      <c r="CQ20" s="1">
        <v>-1.4226099999999992E-2</v>
      </c>
      <c r="CR20" s="1">
        <v>1.1712943333333334</v>
      </c>
      <c r="CS20" s="1">
        <v>0.60461433333333336</v>
      </c>
      <c r="CT20" s="1">
        <v>-0.35047033333333327</v>
      </c>
      <c r="CU20" s="1">
        <v>-0.28231233333333333</v>
      </c>
      <c r="CV20" s="1">
        <v>-6.8157900000000007E-2</v>
      </c>
      <c r="CW20" s="1">
        <v>-0.24333735666666664</v>
      </c>
      <c r="CX20" s="1">
        <v>-0.33289033333333334</v>
      </c>
      <c r="CY20" s="1">
        <v>-0.75408533333333327</v>
      </c>
      <c r="CZ20" s="1">
        <v>0.42119499999999999</v>
      </c>
      <c r="DA20" s="1">
        <v>-0.5481543333333333</v>
      </c>
      <c r="DB20" s="1">
        <v>-9.1016103333333334E-2</v>
      </c>
      <c r="DC20" s="1">
        <v>0.45713866666666664</v>
      </c>
      <c r="DD20" s="1">
        <v>-0.86426633333333325</v>
      </c>
      <c r="DE20" s="1">
        <v>-0.15696803333333334</v>
      </c>
      <c r="DF20" s="1">
        <v>0.70730000000000004</v>
      </c>
      <c r="DG20" s="1">
        <v>-0.28969166666666663</v>
      </c>
      <c r="DH20" s="1">
        <v>-0.50484233333333328</v>
      </c>
      <c r="DI20" s="1">
        <v>0.21515066666666668</v>
      </c>
      <c r="DJ20" s="1">
        <v>-0.39979966666666672</v>
      </c>
      <c r="DK20" s="1">
        <v>-0.11518663333333334</v>
      </c>
      <c r="DL20" s="1">
        <v>-0.12927453333333333</v>
      </c>
      <c r="DM20" s="1">
        <v>7.671507566666666E-2</v>
      </c>
      <c r="DN20" s="1">
        <v>3.4311966666666667</v>
      </c>
      <c r="DO20" s="1">
        <v>3.2723966666666668</v>
      </c>
      <c r="DP20" s="1">
        <v>0.15880266666666668</v>
      </c>
      <c r="DQ20" s="1">
        <v>0.44374033333333335</v>
      </c>
      <c r="DR20" s="1">
        <v>3.8592599999999995</v>
      </c>
      <c r="DS20" s="1">
        <v>3.9800066666666667</v>
      </c>
      <c r="DT20" s="1">
        <v>-0.1207468</v>
      </c>
      <c r="DU20" s="1">
        <v>3.1451933333333333</v>
      </c>
      <c r="DV20" s="1">
        <v>3.98089</v>
      </c>
      <c r="DW20" s="1">
        <v>0.83569666666666664</v>
      </c>
      <c r="DX20" s="1">
        <v>3.1978800000000001</v>
      </c>
      <c r="DY20" s="1">
        <v>4.0179399999999994</v>
      </c>
      <c r="DZ20" s="1">
        <v>0.82006199999999996</v>
      </c>
      <c r="EA20" s="1">
        <v>3.5995600000000003</v>
      </c>
      <c r="EB20" s="1">
        <v>3.5972433333333336</v>
      </c>
      <c r="EC20" s="1">
        <v>2.3168000000000077E-3</v>
      </c>
      <c r="ED20" s="1">
        <v>3.6347366666666669</v>
      </c>
      <c r="EE20" s="1">
        <v>4.2497333333333292E-3</v>
      </c>
      <c r="EF20" s="1">
        <v>1.2012973333333334</v>
      </c>
      <c r="EG20" s="1">
        <v>0.58977899999999994</v>
      </c>
      <c r="EH20" s="1">
        <v>-0.13164380000000001</v>
      </c>
      <c r="EI20" s="1">
        <v>0.22383933333333336</v>
      </c>
      <c r="EJ20" s="1">
        <v>8.3372799999999998</v>
      </c>
      <c r="EK20" s="1">
        <v>9.2089999999999996</v>
      </c>
      <c r="EL20" s="1">
        <v>9.6604666666666663</v>
      </c>
      <c r="EM20" s="1">
        <v>8.6747233333333345</v>
      </c>
      <c r="EN20" s="1">
        <v>9.7820333333333327</v>
      </c>
      <c r="EO20" s="1">
        <v>8.6811099999999985</v>
      </c>
      <c r="EP20" s="1">
        <v>9.6064000000000007</v>
      </c>
      <c r="EQ20" s="1">
        <v>8.9523133333333327</v>
      </c>
      <c r="ER20" s="1">
        <v>9.8795333333333328</v>
      </c>
      <c r="ES20" s="1">
        <v>8.6571300000000004</v>
      </c>
      <c r="ET20" s="1">
        <v>9.9700000000000006</v>
      </c>
      <c r="EU20" s="1">
        <v>8.8786100000000001</v>
      </c>
    </row>
    <row r="21" spans="1:151" ht="15.75" customHeight="1" x14ac:dyDescent="0.25">
      <c r="A21" s="1"/>
      <c r="B21" s="1" t="s">
        <v>186</v>
      </c>
      <c r="C21" s="1" t="s">
        <v>187</v>
      </c>
      <c r="D21" s="2">
        <v>42231</v>
      </c>
      <c r="E21" s="2">
        <v>44865</v>
      </c>
      <c r="F21" s="4">
        <v>7.2114989733059547</v>
      </c>
      <c r="G21" s="1">
        <v>118</v>
      </c>
      <c r="H21" s="1">
        <v>17</v>
      </c>
      <c r="I21" s="4">
        <v>12.209135305946567</v>
      </c>
      <c r="J21" s="1">
        <v>1</v>
      </c>
      <c r="K21" s="1"/>
      <c r="L21" s="1">
        <v>94.43</v>
      </c>
      <c r="M21" s="1">
        <v>291.45999999999998</v>
      </c>
      <c r="N21" s="1"/>
      <c r="O21" s="1">
        <v>0</v>
      </c>
      <c r="P21" s="1"/>
      <c r="Q21" s="1"/>
      <c r="R21" s="1"/>
      <c r="S21" s="1"/>
      <c r="T21" s="1"/>
      <c r="U21" s="1">
        <v>1</v>
      </c>
      <c r="V21" s="1">
        <v>1</v>
      </c>
      <c r="W21" s="1">
        <v>1</v>
      </c>
      <c r="X21" s="1">
        <v>0</v>
      </c>
      <c r="Y21" s="1">
        <v>1</v>
      </c>
      <c r="Z21" s="1">
        <v>1</v>
      </c>
      <c r="AA21" s="1">
        <v>1</v>
      </c>
      <c r="AB21" s="1">
        <v>10</v>
      </c>
      <c r="AC21" s="1"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</row>
    <row r="22" spans="1:151" ht="15.75" customHeight="1" x14ac:dyDescent="0.25">
      <c r="A22" s="1" t="s">
        <v>188</v>
      </c>
      <c r="B22" s="1" t="s">
        <v>189</v>
      </c>
      <c r="C22" s="1" t="s">
        <v>152</v>
      </c>
      <c r="D22" s="2">
        <v>37493</v>
      </c>
      <c r="E22" s="2">
        <v>45175</v>
      </c>
      <c r="F22" s="4">
        <f t="shared" ref="F22:F31" si="0">DATEDIF(D22,E22,"Y")</f>
        <v>21</v>
      </c>
      <c r="G22" s="1">
        <v>169</v>
      </c>
      <c r="H22" s="1">
        <v>59.1</v>
      </c>
      <c r="I22" s="4">
        <f t="shared" ref="I22:I31" si="1">H22/((G22/100)^2)</f>
        <v>20.692552781765347</v>
      </c>
      <c r="J22" s="1">
        <v>0</v>
      </c>
      <c r="K22" s="1"/>
      <c r="L22" s="1">
        <v>5.84</v>
      </c>
      <c r="M22" s="1">
        <v>17.059999999999999</v>
      </c>
      <c r="N22" s="1">
        <v>26</v>
      </c>
      <c r="O22" s="1">
        <v>1</v>
      </c>
      <c r="P22" s="1">
        <v>0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2</v>
      </c>
      <c r="AC22" s="1"/>
      <c r="AD22" s="1"/>
      <c r="AE22" s="1">
        <v>3.79</v>
      </c>
      <c r="AF22" s="1">
        <v>87</v>
      </c>
      <c r="AG22" s="1">
        <v>2.63</v>
      </c>
      <c r="AH22" s="1">
        <v>66</v>
      </c>
      <c r="AI22" s="1">
        <v>0.69</v>
      </c>
      <c r="AJ22" s="1">
        <v>74</v>
      </c>
      <c r="AK22" s="5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</row>
    <row r="23" spans="1:151" ht="15.75" customHeight="1" x14ac:dyDescent="0.25">
      <c r="A23" s="1" t="s">
        <v>190</v>
      </c>
      <c r="B23" s="1" t="s">
        <v>191</v>
      </c>
      <c r="C23" s="1" t="s">
        <v>192</v>
      </c>
      <c r="D23" s="2">
        <v>38744</v>
      </c>
      <c r="E23" s="2">
        <v>45175</v>
      </c>
      <c r="F23" s="4">
        <f t="shared" si="0"/>
        <v>17</v>
      </c>
      <c r="G23" s="1">
        <v>160</v>
      </c>
      <c r="H23" s="1">
        <v>47.7</v>
      </c>
      <c r="I23" s="4">
        <f t="shared" si="1"/>
        <v>18.632812499999996</v>
      </c>
      <c r="J23" s="1">
        <v>1</v>
      </c>
      <c r="K23" s="1"/>
      <c r="L23" s="1">
        <v>52.82</v>
      </c>
      <c r="M23" s="1">
        <v>160.08000000000001</v>
      </c>
      <c r="N23" s="1"/>
      <c r="O23" s="1">
        <v>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1.63</v>
      </c>
      <c r="AF23" s="1">
        <v>52</v>
      </c>
      <c r="AG23" s="1">
        <v>1.27</v>
      </c>
      <c r="AH23" s="1">
        <v>45</v>
      </c>
      <c r="AI23" s="1">
        <v>0.78</v>
      </c>
      <c r="AJ23" s="1">
        <v>80</v>
      </c>
      <c r="AK23" s="6">
        <v>4.3850100000000003</v>
      </c>
      <c r="AL23" s="6">
        <v>4.0495799999999997</v>
      </c>
      <c r="AM23" s="6">
        <v>3.9332199999999999</v>
      </c>
      <c r="AN23" s="6">
        <v>3.80999</v>
      </c>
      <c r="AO23" s="6">
        <v>3.8826299999999998</v>
      </c>
      <c r="AP23" s="6">
        <v>3.8711199999999999</v>
      </c>
      <c r="AQ23" s="6">
        <v>3.7108300000000001</v>
      </c>
      <c r="AR23" s="6">
        <v>3.5217499999999999</v>
      </c>
      <c r="AS23" s="6">
        <v>3.47356</v>
      </c>
      <c r="AT23" s="6">
        <v>3.5846900000000002</v>
      </c>
      <c r="AU23" s="6">
        <v>3.2813099999999999</v>
      </c>
      <c r="AV23" s="6">
        <v>3.0220699999999998</v>
      </c>
      <c r="AW23" s="6">
        <v>3.0404200000000001</v>
      </c>
      <c r="AX23" s="6">
        <v>2.9568699999999999</v>
      </c>
      <c r="AY23" s="6">
        <v>-1.16662</v>
      </c>
      <c r="AZ23" s="6">
        <v>-1.2621</v>
      </c>
      <c r="BA23" s="6">
        <v>-0.64871000000000001</v>
      </c>
      <c r="BB23" s="6">
        <v>-0.37108999999999998</v>
      </c>
      <c r="BC23" s="6">
        <v>-0.29582000000000003</v>
      </c>
      <c r="BD23" s="6">
        <v>-0.42492000000000002</v>
      </c>
      <c r="BE23" s="6">
        <v>-0.16882</v>
      </c>
      <c r="BF23" s="6">
        <v>-0.11254</v>
      </c>
      <c r="BG23" s="6">
        <v>-4.7230000000000001E-2</v>
      </c>
      <c r="BH23" s="6">
        <v>-7.3209999999999997E-2</v>
      </c>
      <c r="BI23" s="6">
        <v>-4.1439999999999998E-2</v>
      </c>
      <c r="BJ23" s="6">
        <v>0.219306</v>
      </c>
      <c r="BK23" s="6">
        <v>0.240115</v>
      </c>
      <c r="BL23" s="6">
        <v>0.42982199999999998</v>
      </c>
      <c r="BM23" s="6">
        <v>3.6087899999999999</v>
      </c>
      <c r="BN23" s="6">
        <v>1.9008000000000001E-2</v>
      </c>
      <c r="BO23" s="6">
        <v>2.6710000000000002E-3</v>
      </c>
      <c r="BP23" s="6">
        <v>22.965599999999998</v>
      </c>
      <c r="BQ23" s="7">
        <v>1.7441800000000001</v>
      </c>
      <c r="BR23" s="7">
        <v>1.641157</v>
      </c>
      <c r="BS23" s="7">
        <v>3.3853399999999998</v>
      </c>
      <c r="BT23" s="7">
        <v>0.50932999999999995</v>
      </c>
      <c r="BU23" s="7">
        <v>0.42887399999999998</v>
      </c>
      <c r="BV23" s="7">
        <v>-1.91876</v>
      </c>
      <c r="BW23" s="7">
        <v>2.6246100000000001</v>
      </c>
      <c r="BX23" s="7">
        <v>2.2516669999999999</v>
      </c>
      <c r="BY23" s="7">
        <v>18.892199999999999</v>
      </c>
      <c r="BZ23" s="7">
        <v>4.2128829999999997</v>
      </c>
      <c r="CA23" s="7">
        <v>3.0600429999999998</v>
      </c>
      <c r="CB23" s="7">
        <v>1.1528400000000001</v>
      </c>
      <c r="CC23" s="7">
        <v>0.46978599999999998</v>
      </c>
      <c r="CD23" s="7">
        <v>5.1641529999999998</v>
      </c>
      <c r="CE23" s="7">
        <v>4.914263</v>
      </c>
      <c r="CF23" s="7">
        <v>0.24989</v>
      </c>
      <c r="CG23" s="7">
        <v>5.8385199999999999</v>
      </c>
      <c r="CH23" s="7">
        <v>3.1198730000000001</v>
      </c>
      <c r="CI23" s="7">
        <v>2.7186499999999998</v>
      </c>
      <c r="CJ23" s="7">
        <v>5.1775770000000003</v>
      </c>
      <c r="CK23" s="7">
        <v>2.8913229999999999</v>
      </c>
      <c r="CL23" s="7">
        <v>2.2862529999999999</v>
      </c>
      <c r="CM23" s="7">
        <v>4.7700399999999998</v>
      </c>
      <c r="CN23" s="7">
        <v>4.0920569999999996</v>
      </c>
      <c r="CO23" s="7">
        <v>0.67798000000000003</v>
      </c>
      <c r="CP23" s="7">
        <v>4.4677369999999996</v>
      </c>
      <c r="CQ23" s="7">
        <v>-2.785E-2</v>
      </c>
      <c r="CR23" s="7">
        <v>4.7316630000000002</v>
      </c>
      <c r="CS23" s="7">
        <v>0.80920199999999998</v>
      </c>
      <c r="CT23" s="7">
        <v>-1.40358</v>
      </c>
      <c r="CU23" s="7">
        <v>-0.41182999999999997</v>
      </c>
      <c r="CV23" s="7">
        <v>-0.99175000000000002</v>
      </c>
      <c r="CW23" s="7">
        <v>-0.44436999999999999</v>
      </c>
      <c r="CX23" s="7">
        <v>-1.6995800000000001</v>
      </c>
      <c r="CY23" s="7">
        <v>-1.53003</v>
      </c>
      <c r="CZ23" s="7">
        <v>-0.16955000000000001</v>
      </c>
      <c r="DA23" s="7">
        <v>-2.1504099999999999</v>
      </c>
      <c r="DB23" s="7">
        <v>-0.31389</v>
      </c>
      <c r="DC23" s="7">
        <v>1.836517</v>
      </c>
      <c r="DD23" s="7">
        <v>-1.9485600000000001</v>
      </c>
      <c r="DE23" s="7">
        <v>-0.27837000000000001</v>
      </c>
      <c r="DF23" s="7">
        <v>1.670193</v>
      </c>
      <c r="DG23" s="7">
        <v>-1.32446</v>
      </c>
      <c r="DH23" s="7">
        <v>-1.0130399999999999</v>
      </c>
      <c r="DI23" s="7">
        <v>-0.31141999999999997</v>
      </c>
      <c r="DJ23" s="7">
        <v>-1.19373</v>
      </c>
      <c r="DK23" s="7">
        <v>0.10231</v>
      </c>
      <c r="DL23" s="7">
        <v>-4.3294600000000001</v>
      </c>
      <c r="DM23" s="7">
        <v>-0.46683000000000002</v>
      </c>
      <c r="DN23" s="7">
        <v>4.46373</v>
      </c>
      <c r="DO23" s="7">
        <v>3.0988329999999999</v>
      </c>
      <c r="DP23" s="7">
        <v>1.3649009999999999</v>
      </c>
      <c r="DQ23" s="7">
        <v>0.56421900000000003</v>
      </c>
      <c r="DR23" s="7">
        <v>5.4874729999999996</v>
      </c>
      <c r="DS23" s="7">
        <v>5.1814830000000001</v>
      </c>
      <c r="DT23" s="7">
        <v>0.30599100000000001</v>
      </c>
      <c r="DU23" s="7">
        <v>3.831267</v>
      </c>
      <c r="DV23" s="7">
        <v>5.8536070000000002</v>
      </c>
      <c r="DW23" s="7">
        <v>2.0223369999999998</v>
      </c>
      <c r="DX23" s="7">
        <v>3.5323829999999998</v>
      </c>
      <c r="DY23" s="7">
        <v>5.1887369999999997</v>
      </c>
      <c r="DZ23" s="7">
        <v>1.65635</v>
      </c>
      <c r="EA23" s="7">
        <v>4.9611929999999997</v>
      </c>
      <c r="EB23" s="7">
        <v>4.220923</v>
      </c>
      <c r="EC23" s="7">
        <v>0.74027399999999999</v>
      </c>
      <c r="ED23" s="7">
        <v>4.6282629999999996</v>
      </c>
      <c r="EE23" s="7">
        <v>-7.2980000000000003E-2</v>
      </c>
      <c r="EF23" s="7">
        <v>5.7143670000000002</v>
      </c>
      <c r="EG23" s="7">
        <v>0.91242400000000001</v>
      </c>
      <c r="EH23" s="7">
        <v>-0.72945000000000004</v>
      </c>
      <c r="EI23" s="7">
        <v>1.5222230000000001</v>
      </c>
      <c r="EJ23" s="7">
        <v>9.8071129999999993</v>
      </c>
      <c r="EK23" s="7">
        <v>11.4483</v>
      </c>
      <c r="EL23" s="7">
        <v>12.186669999999999</v>
      </c>
      <c r="EM23" s="7">
        <v>10.335559999999999</v>
      </c>
      <c r="EN23" s="7">
        <v>12.43887</v>
      </c>
      <c r="EO23" s="7">
        <v>10.38</v>
      </c>
      <c r="EP23" s="7">
        <v>11.711130000000001</v>
      </c>
      <c r="EQ23" s="7">
        <v>11.25447</v>
      </c>
      <c r="ER23" s="7">
        <v>12.64</v>
      </c>
      <c r="ES23" s="7">
        <v>10.165559999999999</v>
      </c>
      <c r="ET23" s="7">
        <v>11.696669999999999</v>
      </c>
      <c r="EU23" s="7">
        <v>11.30777</v>
      </c>
    </row>
    <row r="24" spans="1:151" ht="15.75" customHeight="1" x14ac:dyDescent="0.25">
      <c r="A24" s="1" t="s">
        <v>193</v>
      </c>
      <c r="B24" s="1" t="s">
        <v>194</v>
      </c>
      <c r="C24" s="1" t="s">
        <v>195</v>
      </c>
      <c r="D24" s="2">
        <v>38536</v>
      </c>
      <c r="E24" s="2">
        <v>45182</v>
      </c>
      <c r="F24" s="4">
        <f t="shared" si="0"/>
        <v>18</v>
      </c>
      <c r="G24" s="1">
        <v>169.5</v>
      </c>
      <c r="H24" s="1">
        <v>65.7</v>
      </c>
      <c r="I24" s="4">
        <f t="shared" si="1"/>
        <v>22.867883154514839</v>
      </c>
      <c r="J24" s="1">
        <v>0</v>
      </c>
      <c r="K24" s="1"/>
      <c r="L24" s="1">
        <v>306.17</v>
      </c>
      <c r="M24" s="1">
        <v>895.24</v>
      </c>
      <c r="N24" s="1">
        <v>1174.0999999999999</v>
      </c>
      <c r="O24" s="1">
        <v>0</v>
      </c>
      <c r="P24" s="1"/>
      <c r="Q24" s="1"/>
      <c r="R24" s="1"/>
      <c r="S24" s="1"/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  <c r="AB24" s="1">
        <v>3</v>
      </c>
      <c r="AC24" s="1"/>
      <c r="AD24" s="1"/>
      <c r="AE24" s="1">
        <v>5.07</v>
      </c>
      <c r="AF24" s="1">
        <v>117</v>
      </c>
      <c r="AG24" s="1">
        <v>4.24</v>
      </c>
      <c r="AH24" s="1">
        <v>105</v>
      </c>
      <c r="AI24" s="1">
        <v>0.84</v>
      </c>
      <c r="AJ24" s="1">
        <v>89</v>
      </c>
      <c r="AK24" s="5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</row>
    <row r="25" spans="1:151" ht="15.75" customHeight="1" x14ac:dyDescent="0.25">
      <c r="A25" s="1" t="s">
        <v>196</v>
      </c>
      <c r="B25" s="1" t="s">
        <v>197</v>
      </c>
      <c r="C25" s="1" t="s">
        <v>198</v>
      </c>
      <c r="D25" s="2">
        <v>41592</v>
      </c>
      <c r="E25" s="2">
        <v>45196</v>
      </c>
      <c r="F25" s="4">
        <f t="shared" si="0"/>
        <v>9</v>
      </c>
      <c r="G25" s="1">
        <v>134.5</v>
      </c>
      <c r="H25" s="1">
        <v>27.6</v>
      </c>
      <c r="I25" s="4">
        <f t="shared" si="1"/>
        <v>15.256837246583107</v>
      </c>
      <c r="J25" s="1">
        <v>0</v>
      </c>
      <c r="K25" s="1"/>
      <c r="L25" s="1">
        <v>3.72</v>
      </c>
      <c r="M25" s="1">
        <v>11.5</v>
      </c>
      <c r="N25" s="1"/>
      <c r="O25" s="1">
        <v>1</v>
      </c>
      <c r="P25" s="1"/>
      <c r="Q25" s="1"/>
      <c r="R25" s="1"/>
      <c r="S25" s="1"/>
      <c r="T25" s="1">
        <v>1</v>
      </c>
      <c r="U25" s="1">
        <v>1</v>
      </c>
      <c r="V25" s="1">
        <v>1</v>
      </c>
      <c r="W25" s="1">
        <v>1</v>
      </c>
      <c r="X25" s="1">
        <v>0</v>
      </c>
      <c r="Y25" s="1">
        <v>0</v>
      </c>
      <c r="Z25" s="1">
        <v>1</v>
      </c>
      <c r="AA25" s="1">
        <v>1</v>
      </c>
      <c r="AB25" s="1">
        <v>8</v>
      </c>
      <c r="AC25" s="1"/>
      <c r="AD25" s="1"/>
      <c r="AE25" s="1">
        <v>1.89</v>
      </c>
      <c r="AF25" s="1">
        <v>98</v>
      </c>
      <c r="AG25" s="1">
        <v>1.61</v>
      </c>
      <c r="AH25" s="1">
        <v>90</v>
      </c>
      <c r="AI25" s="1">
        <v>0.85</v>
      </c>
      <c r="AJ25" s="1">
        <v>92</v>
      </c>
      <c r="AK25" s="6">
        <v>5.2384199999999996</v>
      </c>
      <c r="AL25" s="6">
        <v>4.9965099999999998</v>
      </c>
      <c r="AM25" s="6">
        <v>4.9372600000000002</v>
      </c>
      <c r="AN25" s="6">
        <v>4.9379600000000003</v>
      </c>
      <c r="AO25" s="6">
        <v>4.8860000000000001</v>
      </c>
      <c r="AP25" s="6">
        <v>4.8608799999999999</v>
      </c>
      <c r="AQ25" s="6">
        <v>4.8860799999999998</v>
      </c>
      <c r="AR25" s="6">
        <v>4.6113499999999998</v>
      </c>
      <c r="AS25" s="6">
        <v>4.45214</v>
      </c>
      <c r="AT25" s="6">
        <v>4.3898299999999999</v>
      </c>
      <c r="AU25" s="6">
        <v>4.3060600000000004</v>
      </c>
      <c r="AV25" s="6">
        <v>4.1916599999999997</v>
      </c>
      <c r="AW25" s="6">
        <v>4.1887699999999999</v>
      </c>
      <c r="AX25" s="6">
        <v>4.09511</v>
      </c>
      <c r="AY25" s="6">
        <v>-1.8148899999999999</v>
      </c>
      <c r="AZ25" s="6">
        <v>-1.41259</v>
      </c>
      <c r="BA25" s="6">
        <v>-0.87658000000000003</v>
      </c>
      <c r="BB25" s="6">
        <v>-0.55620000000000003</v>
      </c>
      <c r="BC25" s="6">
        <v>-0.39089000000000002</v>
      </c>
      <c r="BD25" s="6">
        <v>-0.32532</v>
      </c>
      <c r="BE25" s="6">
        <v>-0.26146999999999998</v>
      </c>
      <c r="BF25" s="6">
        <v>-0.16192999999999999</v>
      </c>
      <c r="BG25" s="6">
        <v>0.10756</v>
      </c>
      <c r="BH25" s="6">
        <v>0.32279799999999997</v>
      </c>
      <c r="BI25" s="6">
        <v>0.54400000000000004</v>
      </c>
      <c r="BJ25" s="6">
        <v>0.738533</v>
      </c>
      <c r="BK25" s="6">
        <v>1.13019</v>
      </c>
      <c r="BL25" s="6">
        <v>1.3641700000000001</v>
      </c>
      <c r="BM25" s="6">
        <v>4.6412899999999997</v>
      </c>
      <c r="BN25" s="6">
        <v>1.1790999999999999E-2</v>
      </c>
      <c r="BO25" s="6">
        <v>6.8760000000000002E-3</v>
      </c>
      <c r="BP25" s="6">
        <v>18.466200000000001</v>
      </c>
      <c r="BQ25" s="6">
        <v>2.7608670000000002</v>
      </c>
      <c r="BR25" s="6">
        <v>2.4033699999999998</v>
      </c>
      <c r="BS25" s="6">
        <v>5.164237</v>
      </c>
      <c r="BT25" s="6">
        <v>0.53668400000000005</v>
      </c>
      <c r="BU25" s="6">
        <v>0.39285500000000001</v>
      </c>
      <c r="BV25" s="6">
        <v>-0.54922000000000004</v>
      </c>
      <c r="BW25" s="6">
        <v>0.68179500000000004</v>
      </c>
      <c r="BX25" s="6">
        <v>1.1468529999999999</v>
      </c>
      <c r="BY25" s="6">
        <v>11.786770000000001</v>
      </c>
      <c r="BZ25" s="6">
        <v>5.0056529999999997</v>
      </c>
      <c r="CA25" s="6">
        <v>3.4290699999999998</v>
      </c>
      <c r="CB25" s="6">
        <v>1.5765800000000001</v>
      </c>
      <c r="CC25" s="6">
        <v>1.3309200000000001</v>
      </c>
      <c r="CD25" s="6">
        <v>4.9345299999999996</v>
      </c>
      <c r="CE25" s="6">
        <v>5.2505470000000001</v>
      </c>
      <c r="CF25" s="6">
        <v>-0.31601000000000001</v>
      </c>
      <c r="CG25" s="6">
        <v>5.4344299999999999</v>
      </c>
      <c r="CH25" s="6">
        <v>3.4201730000000001</v>
      </c>
      <c r="CI25" s="6">
        <v>2.0142570000000002</v>
      </c>
      <c r="CJ25" s="6">
        <v>5.8696000000000002</v>
      </c>
      <c r="CK25" s="6">
        <v>3.350257</v>
      </c>
      <c r="CL25" s="6">
        <v>2.5193400000000001</v>
      </c>
      <c r="CM25" s="6">
        <v>4.7435369999999999</v>
      </c>
      <c r="CN25" s="6">
        <v>4.7088000000000001</v>
      </c>
      <c r="CO25" s="6">
        <v>3.4733E-2</v>
      </c>
      <c r="CP25" s="6">
        <v>4.7549929999999998</v>
      </c>
      <c r="CQ25" s="6">
        <v>3.6783999999999997E-2</v>
      </c>
      <c r="CR25" s="6">
        <v>2.9344700000000001</v>
      </c>
      <c r="CS25" s="6">
        <v>0.44045600000000001</v>
      </c>
      <c r="CT25" s="6">
        <v>-1.1689499999999999</v>
      </c>
      <c r="CU25" s="6">
        <v>-0.62702000000000002</v>
      </c>
      <c r="CV25" s="6">
        <v>-0.54193000000000002</v>
      </c>
      <c r="CW25" s="6">
        <v>-0.42548000000000002</v>
      </c>
      <c r="CX25" s="6">
        <v>-0.96731999999999996</v>
      </c>
      <c r="CY25" s="6">
        <v>-1.44601</v>
      </c>
      <c r="CZ25" s="6">
        <v>0.47868899999999998</v>
      </c>
      <c r="DA25" s="6">
        <v>-1.2503599999999999</v>
      </c>
      <c r="DB25" s="6">
        <v>-0.49102000000000001</v>
      </c>
      <c r="DC25" s="6">
        <v>0.75933300000000004</v>
      </c>
      <c r="DD25" s="6">
        <v>-1.81877</v>
      </c>
      <c r="DE25" s="6">
        <v>-0.54949999999999999</v>
      </c>
      <c r="DF25" s="6">
        <v>1.2692699999999999</v>
      </c>
      <c r="DG25" s="6">
        <v>-0.84860000000000002</v>
      </c>
      <c r="DH25" s="6">
        <v>-1.1977</v>
      </c>
      <c r="DI25" s="6">
        <v>0.34909200000000001</v>
      </c>
      <c r="DJ25" s="6">
        <v>-1.0210999999999999</v>
      </c>
      <c r="DK25" s="6">
        <v>-0.48229</v>
      </c>
      <c r="DL25" s="6">
        <v>-0.81788000000000005</v>
      </c>
      <c r="DM25" s="6">
        <v>3.7624999999999999E-2</v>
      </c>
      <c r="DN25" s="6">
        <v>5.1529530000000001</v>
      </c>
      <c r="DO25" s="6">
        <v>3.4913630000000002</v>
      </c>
      <c r="DP25" s="6">
        <v>1.6615869999999999</v>
      </c>
      <c r="DQ25" s="6">
        <v>1.3960729999999999</v>
      </c>
      <c r="DR25" s="6">
        <v>5.0293299999999999</v>
      </c>
      <c r="DS25" s="6">
        <v>5.4477770000000003</v>
      </c>
      <c r="DT25" s="6">
        <v>-0.41844999999999999</v>
      </c>
      <c r="DU25" s="6">
        <v>3.6648499999999999</v>
      </c>
      <c r="DV25" s="6">
        <v>5.4575800000000001</v>
      </c>
      <c r="DW25" s="6">
        <v>1.792727</v>
      </c>
      <c r="DX25" s="6">
        <v>3.8257629999999998</v>
      </c>
      <c r="DY25" s="6">
        <v>5.8979569999999999</v>
      </c>
      <c r="DZ25" s="6">
        <v>2.0722</v>
      </c>
      <c r="EA25" s="6">
        <v>4.8212799999999998</v>
      </c>
      <c r="EB25" s="6">
        <v>4.8607300000000002</v>
      </c>
      <c r="EC25" s="6">
        <v>-3.9449999999999999E-2</v>
      </c>
      <c r="ED25" s="6">
        <v>4.8650869999999999</v>
      </c>
      <c r="EE25" s="6">
        <v>0.14313699999999999</v>
      </c>
      <c r="EF25" s="6">
        <v>3.0588030000000002</v>
      </c>
      <c r="EG25" s="6">
        <v>0.422566</v>
      </c>
      <c r="EH25" s="6">
        <v>-0.71050999999999997</v>
      </c>
      <c r="EI25" s="6">
        <v>0.43634600000000001</v>
      </c>
      <c r="EJ25" s="6">
        <v>6.9261629999999998</v>
      </c>
      <c r="EK25" s="6">
        <v>9.3295329999999996</v>
      </c>
      <c r="EL25" s="6">
        <v>10.422230000000001</v>
      </c>
      <c r="EM25" s="6">
        <v>8.15</v>
      </c>
      <c r="EN25" s="6">
        <v>11.2889</v>
      </c>
      <c r="EO25" s="6">
        <v>7.7833329999999998</v>
      </c>
      <c r="EP25" s="6">
        <v>9.65</v>
      </c>
      <c r="EQ25" s="6">
        <v>9.0388900000000003</v>
      </c>
      <c r="ER25" s="6">
        <v>11.03889</v>
      </c>
      <c r="ES25" s="6">
        <v>7.5222230000000003</v>
      </c>
      <c r="ET25" s="6">
        <v>10.161110000000001</v>
      </c>
      <c r="EU25" s="6">
        <v>8.8777799999999996</v>
      </c>
    </row>
    <row r="26" spans="1:151" ht="15.75" customHeight="1" x14ac:dyDescent="0.25">
      <c r="A26" s="1" t="s">
        <v>199</v>
      </c>
      <c r="B26" s="1" t="s">
        <v>200</v>
      </c>
      <c r="C26" s="1" t="s">
        <v>201</v>
      </c>
      <c r="D26" s="2">
        <v>40321</v>
      </c>
      <c r="E26" s="2">
        <v>45223</v>
      </c>
      <c r="F26" s="4">
        <f t="shared" si="0"/>
        <v>13</v>
      </c>
      <c r="G26" s="1">
        <v>156.80000000000001</v>
      </c>
      <c r="H26" s="1">
        <v>38.4</v>
      </c>
      <c r="I26" s="4">
        <f t="shared" si="1"/>
        <v>15.618492294877132</v>
      </c>
      <c r="J26" s="1">
        <v>0</v>
      </c>
      <c r="K26" s="1"/>
      <c r="L26" s="8">
        <v>9.09</v>
      </c>
      <c r="M26" s="1">
        <v>29.72</v>
      </c>
      <c r="N26" s="1"/>
      <c r="O26" s="1">
        <v>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v>2.65</v>
      </c>
      <c r="AF26" s="1">
        <v>90</v>
      </c>
      <c r="AG26" s="1">
        <v>2.2000000000000002</v>
      </c>
      <c r="AH26" s="1">
        <v>83</v>
      </c>
      <c r="AI26" s="1">
        <v>0.83</v>
      </c>
      <c r="AJ26" s="1">
        <v>89</v>
      </c>
      <c r="AK26" s="6">
        <v>4.7834300000000001</v>
      </c>
      <c r="AL26" s="6">
        <v>2.68825</v>
      </c>
      <c r="AM26" s="6">
        <v>3.4607700000000001</v>
      </c>
      <c r="AN26" s="6">
        <v>3.0084300000000002</v>
      </c>
      <c r="AO26" s="6">
        <v>3.96509</v>
      </c>
      <c r="AP26" s="6">
        <v>3.2439399999999998</v>
      </c>
      <c r="AQ26" s="6">
        <v>2.8329900000000001</v>
      </c>
      <c r="AR26" s="6">
        <v>3.0093999999999999</v>
      </c>
      <c r="AS26" s="6">
        <v>3.1457600000000001</v>
      </c>
      <c r="AT26" s="6">
        <v>2.8091400000000002</v>
      </c>
      <c r="AU26" s="6">
        <v>2.9788600000000001</v>
      </c>
      <c r="AV26" s="6">
        <v>3.1603400000000001</v>
      </c>
      <c r="AW26" s="6">
        <v>3.3095699999999999</v>
      </c>
      <c r="AX26" s="6">
        <v>2.9901900000000001</v>
      </c>
      <c r="AY26" s="6">
        <v>-0.64776</v>
      </c>
      <c r="AZ26" s="6">
        <v>-0.96401000000000003</v>
      </c>
      <c r="BA26" s="6">
        <v>-0.42415999999999998</v>
      </c>
      <c r="BB26" s="6">
        <v>-0.57479999999999998</v>
      </c>
      <c r="BC26" s="6">
        <v>-0.27971000000000001</v>
      </c>
      <c r="BD26" s="6">
        <v>-4.0079999999999998E-2</v>
      </c>
      <c r="BE26" s="6">
        <v>0.25122899999999998</v>
      </c>
      <c r="BF26" s="6">
        <v>0.58940999999999999</v>
      </c>
      <c r="BG26" s="6">
        <v>0.65520100000000003</v>
      </c>
      <c r="BH26" s="6">
        <v>0.37465700000000002</v>
      </c>
      <c r="BI26" s="6">
        <v>1.03586</v>
      </c>
      <c r="BJ26" s="6">
        <v>0.86124400000000001</v>
      </c>
      <c r="BK26" s="6">
        <v>1.0348599999999999</v>
      </c>
      <c r="BL26" s="6">
        <v>1.1813100000000001</v>
      </c>
      <c r="BM26" s="6">
        <v>3.24187</v>
      </c>
      <c r="BN26" s="6">
        <v>3.8865999999999998E-2</v>
      </c>
      <c r="BO26" s="6">
        <v>6.6319999999999999E-3</v>
      </c>
      <c r="BP26" s="6">
        <v>13.103199999999999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</row>
    <row r="27" spans="1:151" ht="15.75" customHeight="1" x14ac:dyDescent="0.25">
      <c r="A27" s="1" t="s">
        <v>202</v>
      </c>
      <c r="B27" s="1" t="s">
        <v>203</v>
      </c>
      <c r="C27" s="1" t="s">
        <v>204</v>
      </c>
      <c r="D27" s="2">
        <v>38730</v>
      </c>
      <c r="E27" s="2">
        <v>45265</v>
      </c>
      <c r="F27" s="4">
        <f t="shared" si="0"/>
        <v>17</v>
      </c>
      <c r="G27" s="1">
        <v>171</v>
      </c>
      <c r="H27" s="1">
        <v>56.1</v>
      </c>
      <c r="I27" s="4">
        <f t="shared" si="1"/>
        <v>19.185390376526112</v>
      </c>
      <c r="J27" s="1">
        <v>0</v>
      </c>
      <c r="K27" s="1"/>
      <c r="L27" s="1">
        <v>78.650000000000006</v>
      </c>
      <c r="M27" s="1">
        <v>267.52</v>
      </c>
      <c r="N27" s="1"/>
      <c r="O27" s="1"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>
        <v>4</v>
      </c>
      <c r="AC27" s="1"/>
      <c r="AD27" s="1"/>
      <c r="AE27" s="1">
        <v>3.24</v>
      </c>
      <c r="AF27" s="1">
        <v>79</v>
      </c>
      <c r="AG27" s="1">
        <v>3.12</v>
      </c>
      <c r="AH27" s="1">
        <v>81</v>
      </c>
      <c r="AI27" s="1">
        <v>0.96</v>
      </c>
      <c r="AJ27" s="1">
        <v>102</v>
      </c>
      <c r="AK27" s="6">
        <v>2.5420400000000001</v>
      </c>
      <c r="AL27" s="6">
        <v>2.2816200000000002</v>
      </c>
      <c r="AM27" s="6">
        <v>2.2463000000000002</v>
      </c>
      <c r="AN27" s="6">
        <v>2.32355</v>
      </c>
      <c r="AO27" s="6">
        <v>2.5209299999999999</v>
      </c>
      <c r="AP27" s="6">
        <v>2.3824000000000001</v>
      </c>
      <c r="AQ27" s="6">
        <v>2.4367999999999999</v>
      </c>
      <c r="AR27" s="6">
        <v>2.4774099999999999</v>
      </c>
      <c r="AS27" s="6">
        <v>2.3490000000000002</v>
      </c>
      <c r="AT27" s="6">
        <v>2.5726900000000001</v>
      </c>
      <c r="AU27" s="6">
        <v>2.4688599999999998</v>
      </c>
      <c r="AV27" s="6">
        <v>2.5794299999999999</v>
      </c>
      <c r="AW27" s="6">
        <v>2.66459</v>
      </c>
      <c r="AX27" s="6">
        <v>2.8454600000000001</v>
      </c>
      <c r="AY27" s="6">
        <v>-0.77490000000000003</v>
      </c>
      <c r="AZ27" s="6">
        <v>-0.55642999999999998</v>
      </c>
      <c r="BA27" s="6">
        <v>-9.1700000000000004E-2</v>
      </c>
      <c r="BB27" s="6">
        <v>0.10406899999999999</v>
      </c>
      <c r="BC27" s="6">
        <v>0.27513100000000001</v>
      </c>
      <c r="BD27" s="6">
        <v>0.41528500000000002</v>
      </c>
      <c r="BE27" s="6">
        <v>0.73603600000000002</v>
      </c>
      <c r="BF27" s="6">
        <v>1.0284</v>
      </c>
      <c r="BG27" s="6">
        <v>1.0280800000000001</v>
      </c>
      <c r="BH27" s="6">
        <v>1.29495</v>
      </c>
      <c r="BI27" s="6">
        <v>1.4543200000000001</v>
      </c>
      <c r="BJ27" s="6">
        <v>1.7009399999999999</v>
      </c>
      <c r="BK27" s="6">
        <v>1.5558700000000001</v>
      </c>
      <c r="BL27" s="6">
        <v>1.7337499999999999</v>
      </c>
      <c r="BM27" s="6">
        <v>2.4779300000000002</v>
      </c>
      <c r="BN27" s="6">
        <v>2.0917000000000002E-2</v>
      </c>
      <c r="BO27" s="6">
        <v>1.0243E-2</v>
      </c>
      <c r="BP27" s="6">
        <v>10.9</v>
      </c>
      <c r="BQ27" s="6">
        <v>1.2189399999999999</v>
      </c>
      <c r="BR27" s="6">
        <v>1.2544630000000001</v>
      </c>
      <c r="BS27" s="6">
        <v>2.4734029999999998</v>
      </c>
      <c r="BT27" s="6">
        <v>0.49204500000000001</v>
      </c>
      <c r="BU27" s="6">
        <v>0.414049</v>
      </c>
      <c r="BV27" s="6">
        <v>-0.95113999999999999</v>
      </c>
      <c r="BW27" s="6">
        <v>0.86282899999999996</v>
      </c>
      <c r="BX27" s="6">
        <v>0.795956</v>
      </c>
      <c r="BY27" s="6">
        <v>24.39847</v>
      </c>
      <c r="BZ27" s="6">
        <v>2.0973769999999998</v>
      </c>
      <c r="CA27" s="6">
        <v>1.9056999999999999</v>
      </c>
      <c r="CB27" s="6">
        <v>0.19167500000000001</v>
      </c>
      <c r="CC27" s="6">
        <v>0.245475</v>
      </c>
      <c r="CD27" s="6">
        <v>2.6159370000000002</v>
      </c>
      <c r="CE27" s="6">
        <v>2.186547</v>
      </c>
      <c r="CF27" s="6">
        <v>0.42938999999999999</v>
      </c>
      <c r="CG27" s="6">
        <v>2.717187</v>
      </c>
      <c r="CH27" s="6">
        <v>1.8772070000000001</v>
      </c>
      <c r="CI27" s="6">
        <v>0.839978</v>
      </c>
      <c r="CJ27" s="6">
        <v>2.3007</v>
      </c>
      <c r="CK27" s="6">
        <v>1.761927</v>
      </c>
      <c r="CL27" s="6">
        <v>0.53876900000000005</v>
      </c>
      <c r="CM27" s="6">
        <v>2.3766400000000001</v>
      </c>
      <c r="CN27" s="6">
        <v>2.0363869999999999</v>
      </c>
      <c r="CO27" s="6">
        <v>0.34025100000000003</v>
      </c>
      <c r="CP27" s="6">
        <v>2.2174</v>
      </c>
      <c r="CQ27" s="6">
        <v>-0.39874999999999999</v>
      </c>
      <c r="CR27" s="6">
        <v>1.238923</v>
      </c>
      <c r="CS27" s="6">
        <v>0.70618300000000001</v>
      </c>
      <c r="CT27" s="6">
        <v>-9.6399999999999993E-3</v>
      </c>
      <c r="CU27" s="6">
        <v>-1.985E-2</v>
      </c>
      <c r="CV27" s="6">
        <v>1.0211E-2</v>
      </c>
      <c r="CW27" s="6">
        <v>2.7316E-2</v>
      </c>
      <c r="CX27" s="6">
        <v>-8.1379999999999994E-2</v>
      </c>
      <c r="CY27" s="6">
        <v>-0.15212999999999999</v>
      </c>
      <c r="CZ27" s="6">
        <v>7.0753999999999997E-2</v>
      </c>
      <c r="DA27" s="6">
        <v>-0.21163999999999999</v>
      </c>
      <c r="DB27" s="6">
        <v>0.159576</v>
      </c>
      <c r="DC27" s="6">
        <v>0.37121700000000002</v>
      </c>
      <c r="DD27" s="6">
        <v>-0.25757999999999998</v>
      </c>
      <c r="DE27" s="6">
        <v>0.12531400000000001</v>
      </c>
      <c r="DF27" s="6">
        <v>0.38289899999999999</v>
      </c>
      <c r="DG27" s="6">
        <v>-4.1480000000000003E-2</v>
      </c>
      <c r="DH27" s="6">
        <v>-7.4829999999999994E-2</v>
      </c>
      <c r="DI27" s="6">
        <v>3.3349999999999998E-2</v>
      </c>
      <c r="DJ27" s="6">
        <v>-6.1269999999999998E-2</v>
      </c>
      <c r="DK27" s="6">
        <v>-4.4720000000000003E-2</v>
      </c>
      <c r="DL27" s="6">
        <v>3.4724999999999999E-2</v>
      </c>
      <c r="DM27" s="6">
        <v>8.0070000000000002E-3</v>
      </c>
      <c r="DN27" s="6">
        <v>2.108587</v>
      </c>
      <c r="DO27" s="6">
        <v>1.913127</v>
      </c>
      <c r="DP27" s="6">
        <v>0.195461</v>
      </c>
      <c r="DQ27" s="6">
        <v>0.25044</v>
      </c>
      <c r="DR27" s="6">
        <v>2.6215869999999999</v>
      </c>
      <c r="DS27" s="6">
        <v>2.2084969999999999</v>
      </c>
      <c r="DT27" s="6">
        <v>0.41308699999999998</v>
      </c>
      <c r="DU27" s="6">
        <v>1.89554</v>
      </c>
      <c r="DV27" s="6">
        <v>2.7242169999999999</v>
      </c>
      <c r="DW27" s="6">
        <v>0.82867500000000005</v>
      </c>
      <c r="DX27" s="6">
        <v>1.7907299999999999</v>
      </c>
      <c r="DY27" s="6">
        <v>2.3110300000000001</v>
      </c>
      <c r="DZ27" s="6">
        <v>0.52030100000000001</v>
      </c>
      <c r="EA27" s="6">
        <v>2.3798330000000001</v>
      </c>
      <c r="EB27" s="6">
        <v>2.0439229999999999</v>
      </c>
      <c r="EC27" s="6">
        <v>0.33590599999999998</v>
      </c>
      <c r="ED27" s="6">
        <v>2.2215669999999998</v>
      </c>
      <c r="EE27" s="6">
        <v>-0.39150000000000001</v>
      </c>
      <c r="EF27" s="6">
        <v>1.2491099999999999</v>
      </c>
      <c r="EG27" s="6">
        <v>0.70535499999999995</v>
      </c>
      <c r="EH27" s="6">
        <v>-0.53076000000000001</v>
      </c>
      <c r="EI27" s="6">
        <v>0.26519599999999999</v>
      </c>
      <c r="EJ27" s="6">
        <v>9.0498030000000007</v>
      </c>
      <c r="EK27" s="6">
        <v>10.304270000000001</v>
      </c>
      <c r="EL27" s="6">
        <v>10.81587</v>
      </c>
      <c r="EM27" s="6">
        <v>9.5888899999999992</v>
      </c>
      <c r="EN27" s="6">
        <v>10.877000000000001</v>
      </c>
      <c r="EO27" s="6">
        <v>9.51905</v>
      </c>
      <c r="EP27" s="6">
        <v>10.98967</v>
      </c>
      <c r="EQ27" s="6">
        <v>9.9817429999999998</v>
      </c>
      <c r="ER27" s="6">
        <v>10.9992</v>
      </c>
      <c r="ES27" s="6">
        <v>9.6182529999999993</v>
      </c>
      <c r="ET27" s="6">
        <v>11.093669999999999</v>
      </c>
      <c r="EU27" s="6">
        <v>9.7166669999999993</v>
      </c>
    </row>
    <row r="28" spans="1:151" ht="15.75" customHeight="1" x14ac:dyDescent="0.25">
      <c r="A28" s="1" t="s">
        <v>205</v>
      </c>
      <c r="B28" s="1" t="s">
        <v>206</v>
      </c>
      <c r="C28" s="1" t="s">
        <v>207</v>
      </c>
      <c r="D28" s="2">
        <v>42717</v>
      </c>
      <c r="E28" s="2">
        <v>45252</v>
      </c>
      <c r="F28" s="4">
        <f t="shared" si="0"/>
        <v>6</v>
      </c>
      <c r="G28" s="1">
        <v>117.7</v>
      </c>
      <c r="H28" s="1">
        <v>18.5</v>
      </c>
      <c r="I28" s="4">
        <f t="shared" si="1"/>
        <v>13.354228490127616</v>
      </c>
      <c r="J28" s="1">
        <v>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>
        <v>5</v>
      </c>
      <c r="AC28" s="1"/>
      <c r="AD28" s="1"/>
      <c r="AE28" s="1">
        <v>1.38</v>
      </c>
      <c r="AF28" s="1">
        <v>120</v>
      </c>
      <c r="AG28" s="1">
        <v>0.99</v>
      </c>
      <c r="AH28" s="1">
        <v>92</v>
      </c>
      <c r="AI28" s="1">
        <v>0.72</v>
      </c>
      <c r="AJ28" s="1">
        <v>77</v>
      </c>
      <c r="AK28" s="6">
        <v>6.0172400000000001</v>
      </c>
      <c r="AL28" s="6">
        <v>5.6524599999999996</v>
      </c>
      <c r="AM28" s="6">
        <v>5.3153600000000001</v>
      </c>
      <c r="AN28" s="6">
        <v>5.14567</v>
      </c>
      <c r="AO28" s="6">
        <v>4.9617699999999996</v>
      </c>
      <c r="AP28" s="6">
        <v>4.7498300000000002</v>
      </c>
      <c r="AQ28" s="6">
        <v>4.7947600000000001</v>
      </c>
      <c r="AR28" s="6">
        <v>4.7999599999999996</v>
      </c>
      <c r="AS28" s="6">
        <v>4.2383899999999999</v>
      </c>
      <c r="AT28" s="6">
        <v>4.3793600000000001</v>
      </c>
      <c r="AU28" s="6">
        <v>4.1931000000000003</v>
      </c>
      <c r="AV28" s="6">
        <v>4.1535799999999998</v>
      </c>
      <c r="AW28" s="6">
        <v>4.2251599999999998</v>
      </c>
      <c r="AX28" s="6">
        <v>3.9968300000000001</v>
      </c>
      <c r="AY28" s="6">
        <v>-3.4883999999999999</v>
      </c>
      <c r="AZ28" s="6">
        <v>-2.5583499999999999</v>
      </c>
      <c r="BA28" s="6">
        <v>-1.9443999999999999</v>
      </c>
      <c r="BB28" s="6">
        <v>-1.4449700000000001</v>
      </c>
      <c r="BC28" s="6">
        <v>-1.0459700000000001</v>
      </c>
      <c r="BD28" s="6">
        <v>-0.79315000000000002</v>
      </c>
      <c r="BE28" s="6">
        <v>-0.75409000000000004</v>
      </c>
      <c r="BF28" s="6">
        <v>-0.36243999999999998</v>
      </c>
      <c r="BG28" s="6">
        <v>-0.19008</v>
      </c>
      <c r="BH28" s="6">
        <v>0.25658900000000001</v>
      </c>
      <c r="BI28" s="6">
        <v>0.41920299999999999</v>
      </c>
      <c r="BJ28" s="6">
        <v>0.73102900000000004</v>
      </c>
      <c r="BK28" s="6">
        <v>1.2057</v>
      </c>
      <c r="BL28" s="6">
        <v>1.4990300000000001</v>
      </c>
      <c r="BM28" s="6">
        <v>4.7588200000000001</v>
      </c>
      <c r="BN28" s="6">
        <v>6.4729999999999996E-3</v>
      </c>
      <c r="BO28" s="6">
        <v>8.9580000000000007E-3</v>
      </c>
      <c r="BP28" s="6">
        <v>20.9483</v>
      </c>
      <c r="BQ28" s="6">
        <v>1.831383</v>
      </c>
      <c r="BR28" s="6">
        <v>1.43089</v>
      </c>
      <c r="BS28" s="6">
        <v>3.262273</v>
      </c>
      <c r="BT28" s="6">
        <v>0.56044400000000005</v>
      </c>
      <c r="BU28" s="6">
        <v>0.60472899999999996</v>
      </c>
      <c r="BV28" s="6">
        <v>-0.48953999999999998</v>
      </c>
      <c r="BW28" s="6">
        <v>0.74650799999999995</v>
      </c>
      <c r="BX28" s="6">
        <v>0.66528799999999999</v>
      </c>
      <c r="BY28" s="6">
        <v>18.483029999999999</v>
      </c>
      <c r="BZ28" s="6">
        <v>4.8169969999999998</v>
      </c>
      <c r="CA28" s="6">
        <v>3.6401300000000001</v>
      </c>
      <c r="CB28" s="6">
        <v>1.1768700000000001</v>
      </c>
      <c r="CC28" s="6">
        <v>1.78556</v>
      </c>
      <c r="CD28" s="6">
        <v>5.9623369999999998</v>
      </c>
      <c r="CE28" s="6">
        <v>5.3158399999999997</v>
      </c>
      <c r="CF28" s="6">
        <v>0.64649699999999999</v>
      </c>
      <c r="CG28" s="6">
        <v>6.75448</v>
      </c>
      <c r="CH28" s="6">
        <v>3.7072630000000002</v>
      </c>
      <c r="CI28" s="6">
        <v>3.0472169999999998</v>
      </c>
      <c r="CJ28" s="6">
        <v>5.5539829999999997</v>
      </c>
      <c r="CK28" s="6">
        <v>3.57125</v>
      </c>
      <c r="CL28" s="6">
        <v>1.982737</v>
      </c>
      <c r="CM28" s="6">
        <v>5.4902600000000001</v>
      </c>
      <c r="CN28" s="6">
        <v>4.542713</v>
      </c>
      <c r="CO28" s="6">
        <v>0.94754400000000005</v>
      </c>
      <c r="CP28" s="6">
        <v>5.1178629999999998</v>
      </c>
      <c r="CQ28" s="6">
        <v>-0.72711000000000003</v>
      </c>
      <c r="CR28" s="6">
        <v>2.645553</v>
      </c>
      <c r="CS28" s="6">
        <v>1.195343</v>
      </c>
      <c r="CT28" s="6">
        <v>-1.85731</v>
      </c>
      <c r="CU28" s="6">
        <v>-1.6697900000000001</v>
      </c>
      <c r="CV28" s="6">
        <v>-0.18753</v>
      </c>
      <c r="CW28" s="6">
        <v>-0.2984</v>
      </c>
      <c r="CX28" s="6">
        <v>-1.89527</v>
      </c>
      <c r="CY28" s="6">
        <v>-2.3875099999999998</v>
      </c>
      <c r="CZ28" s="6">
        <v>0.49224400000000001</v>
      </c>
      <c r="DA28" s="6">
        <v>-2.5609500000000001</v>
      </c>
      <c r="DB28" s="6">
        <v>-1.4730700000000001</v>
      </c>
      <c r="DC28" s="6">
        <v>1.087879</v>
      </c>
      <c r="DD28" s="6">
        <v>-2.45485</v>
      </c>
      <c r="DE28" s="6">
        <v>-1.5868</v>
      </c>
      <c r="DF28" s="6">
        <v>0.86804899999999996</v>
      </c>
      <c r="DG28" s="6">
        <v>-1.94102</v>
      </c>
      <c r="DH28" s="6">
        <v>-2.0384099999999998</v>
      </c>
      <c r="DI28" s="6">
        <v>9.7388000000000002E-2</v>
      </c>
      <c r="DJ28" s="6">
        <v>-1.99827</v>
      </c>
      <c r="DK28" s="6">
        <v>-9.7989999999999994E-2</v>
      </c>
      <c r="DL28" s="6">
        <v>-0.79557</v>
      </c>
      <c r="DM28" s="6">
        <v>-0.31284000000000001</v>
      </c>
      <c r="DN28" s="6">
        <v>5.1662800000000004</v>
      </c>
      <c r="DO28" s="6">
        <v>4.0086870000000001</v>
      </c>
      <c r="DP28" s="6">
        <v>1.1575899999999999</v>
      </c>
      <c r="DQ28" s="6">
        <v>1.76163</v>
      </c>
      <c r="DR28" s="6">
        <v>6.262257</v>
      </c>
      <c r="DS28" s="6">
        <v>5.8357929999999998</v>
      </c>
      <c r="DT28" s="6">
        <v>0.42646099999999998</v>
      </c>
      <c r="DU28" s="6">
        <v>4.5359730000000003</v>
      </c>
      <c r="DV28" s="6">
        <v>6.9201300000000003</v>
      </c>
      <c r="DW28" s="6">
        <v>2.3841570000000001</v>
      </c>
      <c r="DX28" s="6">
        <v>4.3401930000000002</v>
      </c>
      <c r="DY28" s="6">
        <v>5.779617</v>
      </c>
      <c r="DZ28" s="6">
        <v>1.4394229999999999</v>
      </c>
      <c r="EA28" s="6">
        <v>5.8259800000000004</v>
      </c>
      <c r="EB28" s="6">
        <v>4.9820270000000004</v>
      </c>
      <c r="EC28" s="6">
        <v>0.843947</v>
      </c>
      <c r="ED28" s="6">
        <v>5.49519</v>
      </c>
      <c r="EE28" s="6">
        <v>-0.64288999999999996</v>
      </c>
      <c r="EF28" s="6">
        <v>2.7498</v>
      </c>
      <c r="EG28" s="6">
        <v>1.2269099999999999</v>
      </c>
      <c r="EH28" s="6">
        <v>-0.38180999999999998</v>
      </c>
      <c r="EI28" s="6">
        <v>0.28347499999999998</v>
      </c>
      <c r="EJ28" s="6">
        <v>8.2286830000000002</v>
      </c>
      <c r="EK28" s="6">
        <v>9.659573</v>
      </c>
      <c r="EL28" s="6">
        <v>10.75667</v>
      </c>
      <c r="EM28" s="6">
        <v>8.6950000000000003</v>
      </c>
      <c r="EN28" s="6">
        <v>10.87833</v>
      </c>
      <c r="EO28" s="6">
        <v>8.66</v>
      </c>
      <c r="EP28" s="6">
        <v>9.8383330000000004</v>
      </c>
      <c r="EQ28" s="6">
        <v>9.57</v>
      </c>
      <c r="ER28" s="6">
        <v>10.53</v>
      </c>
      <c r="ES28" s="6">
        <v>8.69</v>
      </c>
      <c r="ET28" s="6">
        <v>10.50333</v>
      </c>
      <c r="EU28" s="6">
        <v>9.391667</v>
      </c>
    </row>
    <row r="29" spans="1:151" ht="15.75" customHeight="1" x14ac:dyDescent="0.25">
      <c r="A29" s="1" t="s">
        <v>208</v>
      </c>
      <c r="B29" s="1" t="s">
        <v>209</v>
      </c>
      <c r="C29" s="1" t="s">
        <v>210</v>
      </c>
      <c r="D29" s="2">
        <v>43356</v>
      </c>
      <c r="E29" s="2">
        <v>45280</v>
      </c>
      <c r="F29" s="4">
        <f t="shared" si="0"/>
        <v>5</v>
      </c>
      <c r="G29" s="1">
        <v>117</v>
      </c>
      <c r="H29" s="1">
        <v>22.8</v>
      </c>
      <c r="I29" s="4">
        <f t="shared" si="1"/>
        <v>16.655708963401274</v>
      </c>
      <c r="J29" s="1">
        <v>0</v>
      </c>
      <c r="K29" s="1"/>
      <c r="L29" s="1">
        <v>123.68</v>
      </c>
      <c r="M29" s="1">
        <v>412.28</v>
      </c>
      <c r="N29" s="1"/>
      <c r="O29" s="1">
        <v>0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0</v>
      </c>
      <c r="Z29" s="1">
        <v>1</v>
      </c>
      <c r="AA29" s="1">
        <v>1</v>
      </c>
      <c r="AB29" s="1">
        <v>12</v>
      </c>
      <c r="AC29" s="1"/>
      <c r="AD29" s="1"/>
      <c r="AE29" s="1">
        <v>1.5</v>
      </c>
      <c r="AF29" s="1">
        <v>113</v>
      </c>
      <c r="AG29" s="1">
        <v>1.46</v>
      </c>
      <c r="AH29" s="1">
        <v>116</v>
      </c>
      <c r="AI29" s="1">
        <v>0.97</v>
      </c>
      <c r="AJ29" s="1">
        <v>105</v>
      </c>
      <c r="AK29" s="6">
        <v>6.1474299999999999</v>
      </c>
      <c r="AL29" s="6">
        <v>5.6241500000000002</v>
      </c>
      <c r="AM29" s="6">
        <v>5.5879000000000003</v>
      </c>
      <c r="AN29" s="6">
        <v>5.3133499999999998</v>
      </c>
      <c r="AO29" s="6">
        <v>5.3283100000000001</v>
      </c>
      <c r="AP29" s="6">
        <v>5.2630800000000004</v>
      </c>
      <c r="AQ29" s="6">
        <v>4.7762399999999996</v>
      </c>
      <c r="AR29" s="6">
        <v>4.7910500000000003</v>
      </c>
      <c r="AS29" s="6">
        <v>4.40923</v>
      </c>
      <c r="AT29" s="6">
        <v>4.1024599999999998</v>
      </c>
      <c r="AU29" s="6">
        <v>4.2433300000000003</v>
      </c>
      <c r="AV29" s="6">
        <v>3.9659499999999999</v>
      </c>
      <c r="AW29" s="6">
        <v>4.1686199999999998</v>
      </c>
      <c r="AX29" s="6">
        <v>4.3196199999999996</v>
      </c>
      <c r="AY29" s="6">
        <v>-1.6686300000000001</v>
      </c>
      <c r="AZ29" s="6">
        <v>-1.2089399999999999</v>
      </c>
      <c r="BA29" s="6">
        <v>-0.79396999999999995</v>
      </c>
      <c r="BB29" s="6">
        <v>-0.66281999999999996</v>
      </c>
      <c r="BC29" s="6">
        <v>-0.61668000000000001</v>
      </c>
      <c r="BD29" s="6">
        <v>-0.5323</v>
      </c>
      <c r="BE29" s="6">
        <v>-0.53559000000000001</v>
      </c>
      <c r="BF29" s="6">
        <v>-0.17929</v>
      </c>
      <c r="BG29" s="6">
        <v>0.17776</v>
      </c>
      <c r="BH29" s="6">
        <v>0.47980200000000001</v>
      </c>
      <c r="BI29" s="6">
        <v>0.76003699999999996</v>
      </c>
      <c r="BJ29" s="6">
        <v>1.0557099999999999</v>
      </c>
      <c r="BK29" s="6">
        <v>1.6147800000000001</v>
      </c>
      <c r="BL29" s="6">
        <v>1.87354</v>
      </c>
      <c r="BM29" s="6">
        <v>4.8600500000000002</v>
      </c>
      <c r="BN29" s="6">
        <v>1.1171E-2</v>
      </c>
      <c r="BO29" s="6">
        <v>8.1939999999999999E-3</v>
      </c>
      <c r="BP29" s="6">
        <v>16.666699999999999</v>
      </c>
      <c r="BQ29" s="6">
        <v>0.78840900000000003</v>
      </c>
      <c r="BR29" s="6">
        <v>0.77125500000000002</v>
      </c>
      <c r="BS29" s="6">
        <v>1.55966</v>
      </c>
      <c r="BT29" s="6">
        <v>0.50600199999999995</v>
      </c>
      <c r="BU29" s="6">
        <v>0.37622100000000003</v>
      </c>
      <c r="BV29" s="6">
        <v>-2.3912</v>
      </c>
      <c r="BW29" s="6">
        <v>1.4365000000000001</v>
      </c>
      <c r="BX29" s="6">
        <v>0.67883499999999997</v>
      </c>
      <c r="BY29" s="6">
        <v>38.832700000000003</v>
      </c>
      <c r="BZ29" s="6">
        <v>5.3772529999999996</v>
      </c>
      <c r="CA29" s="6">
        <v>5.1203200000000004</v>
      </c>
      <c r="CB29" s="6">
        <v>0.256934</v>
      </c>
      <c r="CC29" s="6">
        <v>0.39228600000000002</v>
      </c>
      <c r="CD29" s="6">
        <v>6.6043450000000004</v>
      </c>
      <c r="CE29" s="6">
        <v>5.8782399999999999</v>
      </c>
      <c r="CF29" s="6">
        <v>0.726105</v>
      </c>
      <c r="CG29" s="6">
        <v>6.9081679999999999</v>
      </c>
      <c r="CH29" s="6">
        <v>4.8349349999999998</v>
      </c>
      <c r="CI29" s="6">
        <v>2.0732300000000001</v>
      </c>
      <c r="CJ29" s="6">
        <v>6.1967879999999997</v>
      </c>
      <c r="CK29" s="6">
        <v>4.7685849999999999</v>
      </c>
      <c r="CL29" s="6">
        <v>1.4282029999999999</v>
      </c>
      <c r="CM29" s="6">
        <v>5.8853799999999996</v>
      </c>
      <c r="CN29" s="6">
        <v>5.435028</v>
      </c>
      <c r="CO29" s="6">
        <v>0.45035399999999998</v>
      </c>
      <c r="CP29" s="6">
        <v>5.6954000000000002</v>
      </c>
      <c r="CQ29" s="6">
        <v>-1.7500199999999999</v>
      </c>
      <c r="CR29" s="6">
        <v>1.9501729999999999</v>
      </c>
      <c r="CS29" s="6">
        <v>2.844128</v>
      </c>
      <c r="CT29" s="6">
        <v>-0.83491000000000004</v>
      </c>
      <c r="CU29" s="6">
        <v>-0.69323000000000001</v>
      </c>
      <c r="CV29" s="6">
        <v>-0.14166999999999999</v>
      </c>
      <c r="CW29" s="6">
        <v>-1.7829999999999999E-2</v>
      </c>
      <c r="CX29" s="6">
        <v>-0.90178999999999998</v>
      </c>
      <c r="CY29" s="6">
        <v>-1.16256</v>
      </c>
      <c r="CZ29" s="6">
        <v>0.26077</v>
      </c>
      <c r="DA29" s="6">
        <v>-1.4148099999999999</v>
      </c>
      <c r="DB29" s="6">
        <v>-0.39883999999999997</v>
      </c>
      <c r="DC29" s="6">
        <v>1.015968</v>
      </c>
      <c r="DD29" s="6">
        <v>-1.5521</v>
      </c>
      <c r="DE29" s="6">
        <v>-0.26821</v>
      </c>
      <c r="DF29" s="6">
        <v>1.283893</v>
      </c>
      <c r="DG29" s="6">
        <v>-0.87929999999999997</v>
      </c>
      <c r="DH29" s="6">
        <v>-0.90861999999999998</v>
      </c>
      <c r="DI29" s="6">
        <v>2.9322000000000001E-2</v>
      </c>
      <c r="DJ29" s="6">
        <v>-0.90059</v>
      </c>
      <c r="DK29" s="6">
        <v>9.8569000000000004E-2</v>
      </c>
      <c r="DL29" s="6">
        <v>-2.0356200000000002</v>
      </c>
      <c r="DM29" s="6">
        <v>0.30154799999999998</v>
      </c>
      <c r="DN29" s="6">
        <v>5.5311079999999997</v>
      </c>
      <c r="DO29" s="6">
        <v>5.192018</v>
      </c>
      <c r="DP29" s="6">
        <v>0.33909099999999998</v>
      </c>
      <c r="DQ29" s="6">
        <v>0.46296599999999999</v>
      </c>
      <c r="DR29" s="6">
        <v>6.6887800000000004</v>
      </c>
      <c r="DS29" s="6">
        <v>6.0368050000000002</v>
      </c>
      <c r="DT29" s="6">
        <v>0.65197099999999997</v>
      </c>
      <c r="DU29" s="6">
        <v>5.14649</v>
      </c>
      <c r="DV29" s="6">
        <v>6.9380350000000002</v>
      </c>
      <c r="DW29" s="6">
        <v>1.79155</v>
      </c>
      <c r="DX29" s="6">
        <v>5.0928779999999998</v>
      </c>
      <c r="DY29" s="6">
        <v>6.2150999999999996</v>
      </c>
      <c r="DZ29" s="6">
        <v>1.1222190000000001</v>
      </c>
      <c r="EA29" s="6">
        <v>5.9806400000000002</v>
      </c>
      <c r="EB29" s="6">
        <v>5.5298550000000004</v>
      </c>
      <c r="EC29" s="6">
        <v>0.45078699999999999</v>
      </c>
      <c r="ED29" s="6">
        <v>5.7795329999999998</v>
      </c>
      <c r="EE29" s="6">
        <v>-1.7540100000000001</v>
      </c>
      <c r="EF29" s="6">
        <v>2.570408</v>
      </c>
      <c r="EG29" s="6">
        <v>2.750248</v>
      </c>
      <c r="EH29" s="6">
        <v>-0.81125999999999998</v>
      </c>
      <c r="EI29" s="6">
        <v>-0.13242000000000001</v>
      </c>
      <c r="EJ29" s="6">
        <v>8.9263879999999993</v>
      </c>
      <c r="EK29" s="6">
        <v>9.6976449999999996</v>
      </c>
      <c r="EL29" s="6">
        <v>9.9893929999999997</v>
      </c>
      <c r="EM29" s="6">
        <v>9.2340929999999997</v>
      </c>
      <c r="EN29" s="6">
        <v>10.09206</v>
      </c>
      <c r="EO29" s="6">
        <v>9.2621129999999994</v>
      </c>
      <c r="EP29" s="6">
        <v>10.051880000000001</v>
      </c>
      <c r="EQ29" s="6">
        <v>9.3844630000000002</v>
      </c>
      <c r="ER29" s="6">
        <v>10.086360000000001</v>
      </c>
      <c r="ES29" s="6">
        <v>9.3568280000000001</v>
      </c>
      <c r="ET29" s="6">
        <v>10.12083</v>
      </c>
      <c r="EU29" s="6">
        <v>9.2996280000000002</v>
      </c>
    </row>
    <row r="30" spans="1:151" ht="15.75" customHeight="1" x14ac:dyDescent="0.25">
      <c r="A30" s="9" t="s">
        <v>211</v>
      </c>
      <c r="B30" s="10" t="s">
        <v>212</v>
      </c>
      <c r="C30" s="1" t="s">
        <v>213</v>
      </c>
      <c r="D30" s="11">
        <v>42640</v>
      </c>
      <c r="E30" s="11">
        <v>45299</v>
      </c>
      <c r="F30" s="4">
        <f t="shared" si="0"/>
        <v>7</v>
      </c>
      <c r="G30" s="12">
        <v>127.5</v>
      </c>
      <c r="H30" s="12">
        <v>29</v>
      </c>
      <c r="I30" s="4">
        <f t="shared" si="1"/>
        <v>17.839292579777009</v>
      </c>
      <c r="J30" s="12">
        <v>1</v>
      </c>
      <c r="K30" s="13"/>
      <c r="L30" s="12">
        <v>137.24</v>
      </c>
      <c r="M30" s="12">
        <v>415.87</v>
      </c>
      <c r="N30" s="13"/>
      <c r="O30" s="12">
        <v>0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2">
        <v>1.55</v>
      </c>
      <c r="AF30" s="12">
        <v>100</v>
      </c>
      <c r="AG30" s="12">
        <v>1.32</v>
      </c>
      <c r="AH30" s="12">
        <v>92</v>
      </c>
      <c r="AI30" s="12">
        <v>0.85</v>
      </c>
      <c r="AJ30" s="12">
        <v>92</v>
      </c>
      <c r="AK30" s="14"/>
    </row>
    <row r="31" spans="1:151" ht="15.75" customHeight="1" x14ac:dyDescent="0.25">
      <c r="B31" s="9" t="s">
        <v>214</v>
      </c>
      <c r="C31" s="1" t="s">
        <v>215</v>
      </c>
      <c r="D31" s="11">
        <v>43418</v>
      </c>
      <c r="E31" s="11">
        <v>45313</v>
      </c>
      <c r="F31" s="4">
        <f t="shared" si="0"/>
        <v>5</v>
      </c>
      <c r="G31" s="12">
        <v>108.5</v>
      </c>
      <c r="H31" s="12">
        <v>17.7</v>
      </c>
      <c r="I31" s="4">
        <f t="shared" si="1"/>
        <v>15.035358576312939</v>
      </c>
      <c r="J31" s="12">
        <v>0</v>
      </c>
      <c r="K31" s="13"/>
      <c r="L31" s="12">
        <v>165.85</v>
      </c>
      <c r="M31" s="12">
        <v>502.58</v>
      </c>
      <c r="N31" s="13"/>
      <c r="O31" s="12">
        <v>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</row>
    <row r="32" spans="1:151" ht="15.75" customHeight="1" x14ac:dyDescent="0.25">
      <c r="C32" s="1"/>
      <c r="D32" s="11"/>
      <c r="E32" s="1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3:36" ht="15.75" customHeight="1" x14ac:dyDescent="0.25">
      <c r="C33" s="1"/>
      <c r="D33" s="11"/>
      <c r="E33" s="1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3:36" ht="15.75" customHeight="1" x14ac:dyDescent="0.25">
      <c r="C34" s="1"/>
      <c r="D34" s="11"/>
      <c r="E34" s="11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3:36" ht="15.75" customHeight="1" x14ac:dyDescent="0.25">
      <c r="C35" s="1"/>
      <c r="D35" s="11"/>
      <c r="E35" s="11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3:36" ht="15.75" customHeight="1" x14ac:dyDescent="0.25">
      <c r="C36" s="1"/>
      <c r="D36" s="11"/>
      <c r="E36" s="11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3:36" ht="15.75" customHeight="1" x14ac:dyDescent="0.25">
      <c r="C37" s="1"/>
      <c r="D37" s="11"/>
      <c r="E37" s="11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3:36" ht="15.75" customHeight="1" x14ac:dyDescent="0.25">
      <c r="C38" s="1"/>
      <c r="D38" s="11"/>
      <c r="E38" s="11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3:36" ht="15.75" customHeight="1" x14ac:dyDescent="0.25">
      <c r="C39" s="1"/>
      <c r="D39" s="11"/>
      <c r="E39" s="11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3:36" ht="15.75" customHeight="1" x14ac:dyDescent="0.25">
      <c r="C40" s="1"/>
      <c r="D40" s="11"/>
      <c r="E40" s="11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3:36" ht="15.75" customHeight="1" x14ac:dyDescent="0.25">
      <c r="C41" s="1"/>
      <c r="D41" s="11"/>
      <c r="E41" s="11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3:36" ht="15.75" customHeight="1" x14ac:dyDescent="0.25">
      <c r="C42" s="1"/>
      <c r="D42" s="11"/>
      <c r="E42" s="11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3:36" ht="15.75" customHeight="1" x14ac:dyDescent="0.25">
      <c r="C43" s="1"/>
      <c r="D43" s="11"/>
      <c r="E43" s="11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3:36" ht="15.75" customHeight="1" x14ac:dyDescent="0.25">
      <c r="C44" s="1"/>
      <c r="D44" s="11"/>
      <c r="E44" s="11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3:36" ht="15.75" customHeight="1" x14ac:dyDescent="0.25">
      <c r="C45" s="1"/>
      <c r="D45" s="11"/>
      <c r="E45" s="11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3:36" ht="15.75" customHeight="1" x14ac:dyDescent="0.25">
      <c r="C46" s="1"/>
      <c r="D46" s="11"/>
      <c r="E46" s="11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3:36" ht="15.75" customHeight="1" x14ac:dyDescent="0.25">
      <c r="C47" s="1"/>
      <c r="D47" s="11"/>
      <c r="E47" s="11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3:36" ht="15.75" customHeight="1" x14ac:dyDescent="0.25">
      <c r="C48" s="1"/>
      <c r="D48" s="11"/>
      <c r="E48" s="11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3:36" ht="15.75" customHeight="1" x14ac:dyDescent="0.25">
      <c r="C49" s="1"/>
      <c r="D49" s="11"/>
      <c r="E49" s="11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3:36" ht="15.75" customHeight="1" x14ac:dyDescent="0.25">
      <c r="C50" s="1"/>
      <c r="D50" s="11"/>
      <c r="E50" s="11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3:36" ht="15.75" customHeight="1" x14ac:dyDescent="0.25">
      <c r="C51" s="1"/>
      <c r="D51" s="11"/>
      <c r="E51" s="11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3:36" ht="15.75" customHeight="1" x14ac:dyDescent="0.25">
      <c r="C52" s="1"/>
      <c r="D52" s="11"/>
      <c r="E52" s="11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3:36" ht="15.75" customHeight="1" x14ac:dyDescent="0.25">
      <c r="C53" s="1"/>
      <c r="D53" s="11"/>
      <c r="E53" s="11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3:36" ht="15.75" customHeight="1" x14ac:dyDescent="0.25">
      <c r="C54" s="1"/>
      <c r="D54" s="11"/>
      <c r="E54" s="11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3:36" ht="15.75" customHeight="1" x14ac:dyDescent="0.25">
      <c r="C55" s="1"/>
      <c r="D55" s="11"/>
      <c r="E55" s="11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3:36" ht="15.75" customHeight="1" x14ac:dyDescent="0.25">
      <c r="C56" s="1"/>
      <c r="D56" s="11"/>
      <c r="E56" s="11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3:36" ht="15.75" customHeight="1" x14ac:dyDescent="0.25">
      <c r="C57" s="1"/>
      <c r="D57" s="11"/>
      <c r="E57" s="11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3:36" ht="15.75" customHeight="1" x14ac:dyDescent="0.25">
      <c r="C58" s="1"/>
      <c r="D58" s="11"/>
      <c r="E58" s="11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3:36" ht="15.75" customHeight="1" x14ac:dyDescent="0.25">
      <c r="C59" s="1"/>
      <c r="D59" s="11"/>
      <c r="E59" s="11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3:36" ht="15.75" customHeight="1" x14ac:dyDescent="0.25">
      <c r="C60" s="1"/>
      <c r="D60" s="11"/>
      <c r="E60" s="11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3:36" ht="15.75" customHeight="1" x14ac:dyDescent="0.25">
      <c r="C61" s="1"/>
      <c r="D61" s="11"/>
      <c r="E61" s="11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3:36" ht="15.75" customHeight="1" x14ac:dyDescent="0.25">
      <c r="C62" s="1"/>
      <c r="D62" s="11"/>
      <c r="E62" s="11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3:36" ht="15.75" customHeight="1" x14ac:dyDescent="0.25">
      <c r="C63" s="1"/>
      <c r="D63" s="11"/>
      <c r="E63" s="11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3:36" ht="15.75" customHeight="1" x14ac:dyDescent="0.25">
      <c r="C64" s="1"/>
      <c r="D64" s="11"/>
      <c r="E64" s="11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3:36" ht="15.75" customHeight="1" x14ac:dyDescent="0.25">
      <c r="C65" s="1"/>
      <c r="D65" s="11"/>
      <c r="E65" s="11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3:36" ht="15.75" customHeight="1" x14ac:dyDescent="0.25">
      <c r="C66" s="1"/>
      <c r="D66" s="11"/>
      <c r="E66" s="11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3:36" ht="15.75" customHeight="1" x14ac:dyDescent="0.25">
      <c r="C67" s="1"/>
      <c r="D67" s="11"/>
      <c r="E67" s="11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3:36" ht="15.75" customHeight="1" x14ac:dyDescent="0.25">
      <c r="C68" s="1"/>
      <c r="D68" s="11"/>
      <c r="E68" s="11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3:36" ht="15.75" customHeight="1" x14ac:dyDescent="0.25">
      <c r="C69" s="1"/>
      <c r="D69" s="11"/>
      <c r="E69" s="11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3:36" ht="15.75" customHeight="1" x14ac:dyDescent="0.25">
      <c r="C70" s="1"/>
      <c r="D70" s="11"/>
      <c r="E70" s="1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3:36" ht="15.75" customHeight="1" x14ac:dyDescent="0.25">
      <c r="C71" s="1"/>
      <c r="D71" s="11"/>
      <c r="E71" s="11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3:36" ht="15.75" customHeight="1" x14ac:dyDescent="0.25">
      <c r="C72" s="1"/>
      <c r="D72" s="11"/>
      <c r="E72" s="1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3:36" ht="15.75" customHeight="1" x14ac:dyDescent="0.25">
      <c r="C73" s="1"/>
      <c r="D73" s="11"/>
      <c r="E73" s="11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3:36" ht="15.75" customHeight="1" x14ac:dyDescent="0.25">
      <c r="C74" s="1"/>
      <c r="D74" s="11"/>
      <c r="E74" s="11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3:36" ht="15.75" customHeight="1" x14ac:dyDescent="0.25">
      <c r="C75" s="1"/>
      <c r="D75" s="11"/>
      <c r="E75" s="11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3:36" ht="15.75" customHeight="1" x14ac:dyDescent="0.25">
      <c r="C76" s="1"/>
      <c r="D76" s="11"/>
      <c r="E76" s="11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3:36" ht="15.75" customHeight="1" x14ac:dyDescent="0.25">
      <c r="C77" s="1"/>
      <c r="D77" s="11"/>
      <c r="E77" s="11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3:36" ht="15.75" customHeight="1" x14ac:dyDescent="0.25">
      <c r="C78" s="1"/>
      <c r="D78" s="11"/>
      <c r="E78" s="11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3:36" ht="15.75" customHeight="1" x14ac:dyDescent="0.25">
      <c r="C79" s="1"/>
      <c r="D79" s="11"/>
      <c r="E79" s="11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3:36" ht="15.75" customHeight="1" x14ac:dyDescent="0.25">
      <c r="C80" s="1"/>
      <c r="D80" s="11"/>
      <c r="E80" s="11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3:36" ht="15.75" customHeight="1" x14ac:dyDescent="0.25">
      <c r="C81" s="1"/>
      <c r="D81" s="11"/>
      <c r="E81" s="11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3:36" ht="15.75" customHeight="1" x14ac:dyDescent="0.25">
      <c r="C82" s="1"/>
      <c r="D82" s="11"/>
      <c r="E82" s="11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3:36" ht="15.75" customHeight="1" x14ac:dyDescent="0.25">
      <c r="C83" s="1"/>
      <c r="D83" s="11"/>
      <c r="E83" s="11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3:36" ht="15.75" customHeight="1" x14ac:dyDescent="0.25">
      <c r="C84" s="1"/>
      <c r="D84" s="11"/>
      <c r="E84" s="11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3:36" ht="15.75" customHeight="1" x14ac:dyDescent="0.25">
      <c r="C85" s="1"/>
      <c r="D85" s="11"/>
      <c r="E85" s="11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3:36" ht="15.75" customHeight="1" x14ac:dyDescent="0.25">
      <c r="C86" s="1"/>
      <c r="D86" s="11"/>
      <c r="E86" s="11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3:36" ht="15.75" customHeight="1" x14ac:dyDescent="0.25">
      <c r="C87" s="1"/>
      <c r="D87" s="11"/>
      <c r="E87" s="11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3:36" ht="15.75" customHeight="1" x14ac:dyDescent="0.25">
      <c r="C88" s="1"/>
      <c r="D88" s="11"/>
      <c r="E88" s="11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3:36" ht="15.75" customHeight="1" x14ac:dyDescent="0.25">
      <c r="C89" s="1"/>
      <c r="D89" s="11"/>
      <c r="E89" s="11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3:36" ht="15.75" customHeight="1" x14ac:dyDescent="0.25">
      <c r="C90" s="1"/>
      <c r="D90" s="11"/>
      <c r="E90" s="11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3:36" ht="15.75" customHeight="1" x14ac:dyDescent="0.25">
      <c r="C91" s="1"/>
      <c r="D91" s="11"/>
      <c r="E91" s="11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3:36" ht="15.75" customHeight="1" x14ac:dyDescent="0.25">
      <c r="C92" s="1"/>
      <c r="D92" s="11"/>
      <c r="E92" s="11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3:36" ht="15.75" customHeight="1" x14ac:dyDescent="0.25">
      <c r="C93" s="1"/>
      <c r="D93" s="11"/>
      <c r="E93" s="11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3:36" ht="15.75" customHeight="1" x14ac:dyDescent="0.25">
      <c r="C94" s="1"/>
      <c r="D94" s="11"/>
      <c r="E94" s="11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3:36" ht="15.75" customHeight="1" x14ac:dyDescent="0.25">
      <c r="C95" s="1"/>
      <c r="D95" s="11"/>
      <c r="E95" s="11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3:36" ht="15.75" customHeight="1" x14ac:dyDescent="0.25">
      <c r="C96" s="1"/>
      <c r="D96" s="11"/>
      <c r="E96" s="11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3:36" ht="15.75" customHeight="1" x14ac:dyDescent="0.25">
      <c r="C97" s="1"/>
      <c r="D97" s="11"/>
      <c r="E97" s="11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3:36" ht="15.75" customHeight="1" x14ac:dyDescent="0.25">
      <c r="C98" s="1"/>
      <c r="D98" s="11"/>
      <c r="E98" s="11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3:36" ht="15.75" customHeight="1" x14ac:dyDescent="0.25">
      <c r="C99" s="1"/>
      <c r="D99" s="11"/>
      <c r="E99" s="11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3:36" ht="15.75" customHeight="1" x14ac:dyDescent="0.25">
      <c r="C100" s="1"/>
      <c r="D100" s="11"/>
      <c r="E100" s="11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3:36" ht="15.75" customHeight="1" x14ac:dyDescent="0.25">
      <c r="C101" s="1"/>
      <c r="D101" s="11"/>
      <c r="E101" s="11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3:36" ht="15.75" customHeight="1" x14ac:dyDescent="0.25">
      <c r="C102" s="1"/>
      <c r="D102" s="11"/>
      <c r="E102" s="11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3:36" ht="15.75" customHeight="1" x14ac:dyDescent="0.25">
      <c r="C103" s="1"/>
      <c r="D103" s="11"/>
      <c r="E103" s="11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3:36" ht="15.75" customHeight="1" x14ac:dyDescent="0.25">
      <c r="C104" s="1"/>
      <c r="D104" s="11"/>
      <c r="E104" s="11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3:36" ht="15.75" customHeight="1" x14ac:dyDescent="0.25">
      <c r="C105" s="1"/>
      <c r="D105" s="11"/>
      <c r="E105" s="11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3:36" ht="15.75" customHeight="1" x14ac:dyDescent="0.25">
      <c r="C106" s="1"/>
      <c r="D106" s="11"/>
      <c r="E106" s="11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3:36" ht="15.75" customHeight="1" x14ac:dyDescent="0.25">
      <c r="C107" s="1"/>
      <c r="D107" s="11"/>
      <c r="E107" s="11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3:36" ht="15.75" customHeight="1" x14ac:dyDescent="0.25">
      <c r="C108" s="1"/>
      <c r="D108" s="11"/>
      <c r="E108" s="11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3:36" ht="15.75" customHeight="1" x14ac:dyDescent="0.25">
      <c r="C109" s="1"/>
      <c r="D109" s="11"/>
      <c r="E109" s="11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3:36" ht="15.75" customHeight="1" x14ac:dyDescent="0.25">
      <c r="C110" s="1"/>
      <c r="D110" s="11"/>
      <c r="E110" s="11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3:36" ht="15.75" customHeight="1" x14ac:dyDescent="0.25">
      <c r="C111" s="1"/>
      <c r="D111" s="11"/>
      <c r="E111" s="11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3:36" ht="15.75" customHeight="1" x14ac:dyDescent="0.25">
      <c r="C112" s="1"/>
      <c r="D112" s="11"/>
      <c r="E112" s="11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3:36" ht="15.75" customHeight="1" x14ac:dyDescent="0.25">
      <c r="C113" s="1"/>
      <c r="D113" s="11"/>
      <c r="E113" s="11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3:36" ht="15.75" customHeight="1" x14ac:dyDescent="0.25">
      <c r="C114" s="1"/>
      <c r="D114" s="11"/>
      <c r="E114" s="11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3:36" ht="15.75" customHeight="1" x14ac:dyDescent="0.25">
      <c r="C115" s="1"/>
      <c r="D115" s="11"/>
      <c r="E115" s="11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3:36" ht="15.75" customHeight="1" x14ac:dyDescent="0.25">
      <c r="C116" s="1"/>
      <c r="D116" s="11"/>
      <c r="E116" s="11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3:36" ht="15.75" customHeight="1" x14ac:dyDescent="0.25">
      <c r="C117" s="1"/>
      <c r="D117" s="11"/>
      <c r="E117" s="11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3:36" ht="15.75" customHeight="1" x14ac:dyDescent="0.25">
      <c r="C118" s="1"/>
      <c r="D118" s="11"/>
      <c r="E118" s="11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3:36" ht="15.75" customHeight="1" x14ac:dyDescent="0.25">
      <c r="C119" s="1"/>
      <c r="D119" s="11"/>
      <c r="E119" s="11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3:36" ht="15.75" customHeight="1" x14ac:dyDescent="0.25">
      <c r="C120" s="1"/>
      <c r="D120" s="11"/>
      <c r="E120" s="11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3:36" ht="15.75" customHeight="1" x14ac:dyDescent="0.25">
      <c r="C121" s="1"/>
      <c r="D121" s="11"/>
      <c r="E121" s="11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3:36" ht="15.75" customHeight="1" x14ac:dyDescent="0.25">
      <c r="C122" s="1"/>
      <c r="D122" s="11"/>
      <c r="E122" s="11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3:36" ht="15.75" customHeight="1" x14ac:dyDescent="0.25">
      <c r="C123" s="1"/>
      <c r="D123" s="11"/>
      <c r="E123" s="11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3:36" ht="15.75" customHeight="1" x14ac:dyDescent="0.25">
      <c r="C124" s="1"/>
      <c r="D124" s="11"/>
      <c r="E124" s="11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3:36" ht="15.75" customHeight="1" x14ac:dyDescent="0.25">
      <c r="C125" s="1"/>
      <c r="D125" s="11"/>
      <c r="E125" s="11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3:36" ht="15.75" customHeight="1" x14ac:dyDescent="0.25">
      <c r="C126" s="1"/>
      <c r="D126" s="11"/>
      <c r="E126" s="11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3:36" ht="15.75" customHeight="1" x14ac:dyDescent="0.25">
      <c r="C127" s="1"/>
      <c r="D127" s="11"/>
      <c r="E127" s="11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3:36" ht="15.75" customHeight="1" x14ac:dyDescent="0.25">
      <c r="C128" s="1"/>
      <c r="D128" s="11"/>
      <c r="E128" s="11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3:36" ht="15.75" customHeight="1" x14ac:dyDescent="0.25">
      <c r="C129" s="1"/>
      <c r="D129" s="11"/>
      <c r="E129" s="11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3:36" ht="15.75" customHeight="1" x14ac:dyDescent="0.25">
      <c r="C130" s="1"/>
      <c r="D130" s="11"/>
      <c r="E130" s="11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3:36" ht="15.75" customHeight="1" x14ac:dyDescent="0.25">
      <c r="C131" s="1"/>
      <c r="D131" s="11"/>
      <c r="E131" s="11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3:36" ht="15.75" customHeight="1" x14ac:dyDescent="0.25">
      <c r="C132" s="1"/>
      <c r="D132" s="11"/>
      <c r="E132" s="11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3:36" ht="15.75" customHeight="1" x14ac:dyDescent="0.25">
      <c r="C133" s="1"/>
      <c r="D133" s="11"/>
      <c r="E133" s="11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3:36" ht="15.75" customHeight="1" x14ac:dyDescent="0.25">
      <c r="C134" s="1"/>
      <c r="D134" s="11"/>
      <c r="E134" s="11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3:36" ht="15.75" customHeight="1" x14ac:dyDescent="0.25">
      <c r="C135" s="1"/>
      <c r="D135" s="11"/>
      <c r="E135" s="11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3:36" ht="15.75" customHeight="1" x14ac:dyDescent="0.25">
      <c r="C136" s="1"/>
      <c r="D136" s="11"/>
      <c r="E136" s="11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3:36" ht="15.75" customHeight="1" x14ac:dyDescent="0.25">
      <c r="C137" s="1"/>
      <c r="D137" s="11"/>
      <c r="E137" s="11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3:36" ht="15.75" customHeight="1" x14ac:dyDescent="0.25">
      <c r="C138" s="1"/>
      <c r="D138" s="11"/>
      <c r="E138" s="11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3:36" ht="15.75" customHeight="1" x14ac:dyDescent="0.25">
      <c r="C139" s="1"/>
      <c r="D139" s="11"/>
      <c r="E139" s="11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3:36" ht="15.75" customHeight="1" x14ac:dyDescent="0.25">
      <c r="C140" s="1"/>
      <c r="D140" s="11"/>
      <c r="E140" s="11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3:36" ht="15.75" customHeight="1" x14ac:dyDescent="0.25">
      <c r="C141" s="1"/>
      <c r="D141" s="11"/>
      <c r="E141" s="11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3:36" ht="15.75" customHeight="1" x14ac:dyDescent="0.25">
      <c r="C142" s="1"/>
      <c r="D142" s="11"/>
      <c r="E142" s="11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3:36" ht="15.75" customHeight="1" x14ac:dyDescent="0.25">
      <c r="C143" s="1"/>
      <c r="D143" s="11"/>
      <c r="E143" s="11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3:36" ht="15.75" customHeight="1" x14ac:dyDescent="0.25">
      <c r="C144" s="1"/>
      <c r="D144" s="11"/>
      <c r="E144" s="11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3:36" ht="15.75" customHeight="1" x14ac:dyDescent="0.25">
      <c r="C145" s="1"/>
      <c r="D145" s="11"/>
      <c r="E145" s="11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3:36" ht="15.75" customHeight="1" x14ac:dyDescent="0.25">
      <c r="C146" s="1"/>
      <c r="D146" s="11"/>
      <c r="E146" s="11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3:36" ht="15.75" customHeight="1" x14ac:dyDescent="0.25">
      <c r="C147" s="1"/>
      <c r="D147" s="11"/>
      <c r="E147" s="11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3:36" ht="15.75" customHeight="1" x14ac:dyDescent="0.25">
      <c r="C148" s="1"/>
      <c r="D148" s="11"/>
      <c r="E148" s="11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3:36" ht="15.75" customHeight="1" x14ac:dyDescent="0.25">
      <c r="C149" s="1"/>
      <c r="D149" s="11"/>
      <c r="E149" s="11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3:36" ht="15.75" customHeight="1" x14ac:dyDescent="0.25">
      <c r="C150" s="1"/>
      <c r="D150" s="11"/>
      <c r="E150" s="11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3:36" ht="15.75" customHeight="1" x14ac:dyDescent="0.25">
      <c r="C151" s="1"/>
      <c r="D151" s="11"/>
      <c r="E151" s="11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3:36" ht="15.75" customHeight="1" x14ac:dyDescent="0.25">
      <c r="C152" s="1"/>
      <c r="D152" s="11"/>
      <c r="E152" s="11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3:36" ht="15.75" customHeight="1" x14ac:dyDescent="0.25">
      <c r="C153" s="1"/>
      <c r="D153" s="11"/>
      <c r="E153" s="11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3:36" ht="15.75" customHeight="1" x14ac:dyDescent="0.25">
      <c r="C154" s="1"/>
      <c r="D154" s="11"/>
      <c r="E154" s="11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3:36" ht="15.75" customHeight="1" x14ac:dyDescent="0.25">
      <c r="C155" s="1"/>
      <c r="D155" s="11"/>
      <c r="E155" s="11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3:36" ht="15.75" customHeight="1" x14ac:dyDescent="0.25">
      <c r="C156" s="1"/>
      <c r="D156" s="11"/>
      <c r="E156" s="11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3:36" ht="15.75" customHeight="1" x14ac:dyDescent="0.25">
      <c r="C157" s="1"/>
      <c r="D157" s="11"/>
      <c r="E157" s="11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3:36" ht="15.75" customHeight="1" x14ac:dyDescent="0.25">
      <c r="C158" s="1"/>
      <c r="D158" s="11"/>
      <c r="E158" s="11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3:36" ht="15.75" customHeight="1" x14ac:dyDescent="0.25">
      <c r="C159" s="1"/>
      <c r="D159" s="11"/>
      <c r="E159" s="11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3:36" ht="15.75" customHeight="1" x14ac:dyDescent="0.25">
      <c r="C160" s="1"/>
      <c r="D160" s="11"/>
      <c r="E160" s="11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3:36" ht="15.75" customHeight="1" x14ac:dyDescent="0.25">
      <c r="C161" s="1"/>
      <c r="D161" s="11"/>
      <c r="E161" s="11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3:36" ht="15.75" customHeight="1" x14ac:dyDescent="0.25">
      <c r="C162" s="1"/>
      <c r="D162" s="11"/>
      <c r="E162" s="11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3:36" ht="15.75" customHeight="1" x14ac:dyDescent="0.25">
      <c r="C163" s="1"/>
      <c r="D163" s="11"/>
      <c r="E163" s="11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3:36" ht="15.75" customHeight="1" x14ac:dyDescent="0.25">
      <c r="C164" s="1"/>
      <c r="D164" s="11"/>
      <c r="E164" s="11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3:36" ht="15.75" customHeight="1" x14ac:dyDescent="0.25">
      <c r="C165" s="1"/>
      <c r="D165" s="11"/>
      <c r="E165" s="11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3:36" ht="15.75" customHeight="1" x14ac:dyDescent="0.25">
      <c r="C166" s="1"/>
      <c r="D166" s="11"/>
      <c r="E166" s="11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3:36" ht="15.75" customHeight="1" x14ac:dyDescent="0.25">
      <c r="C167" s="1"/>
      <c r="D167" s="11"/>
      <c r="E167" s="11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3:36" ht="15.75" customHeight="1" x14ac:dyDescent="0.25">
      <c r="C168" s="1"/>
      <c r="D168" s="11"/>
      <c r="E168" s="11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3:36" ht="15.75" customHeight="1" x14ac:dyDescent="0.25">
      <c r="C169" s="1"/>
      <c r="D169" s="11"/>
      <c r="E169" s="11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3:36" ht="15.75" customHeight="1" x14ac:dyDescent="0.25">
      <c r="C170" s="1"/>
      <c r="D170" s="11"/>
      <c r="E170" s="11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3:36" ht="15.75" customHeight="1" x14ac:dyDescent="0.25">
      <c r="C171" s="1"/>
      <c r="D171" s="11"/>
      <c r="E171" s="11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3:36" ht="15.75" customHeight="1" x14ac:dyDescent="0.25">
      <c r="C172" s="1"/>
      <c r="D172" s="11"/>
      <c r="E172" s="11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3:36" ht="15.75" customHeight="1" x14ac:dyDescent="0.25">
      <c r="C173" s="1"/>
      <c r="D173" s="11"/>
      <c r="E173" s="11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3:36" ht="15.75" customHeight="1" x14ac:dyDescent="0.25">
      <c r="C174" s="1"/>
      <c r="D174" s="11"/>
      <c r="E174" s="11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3:36" ht="15.75" customHeight="1" x14ac:dyDescent="0.25">
      <c r="C175" s="1"/>
      <c r="D175" s="11"/>
      <c r="E175" s="11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3:36" ht="15.75" customHeight="1" x14ac:dyDescent="0.25">
      <c r="C176" s="1"/>
      <c r="D176" s="11"/>
      <c r="E176" s="11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3:36" ht="15.75" customHeight="1" x14ac:dyDescent="0.25">
      <c r="C177" s="1"/>
      <c r="D177" s="11"/>
      <c r="E177" s="11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3:36" ht="15.75" customHeight="1" x14ac:dyDescent="0.25">
      <c r="C178" s="1"/>
      <c r="D178" s="11"/>
      <c r="E178" s="11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3:36" ht="15.75" customHeight="1" x14ac:dyDescent="0.25">
      <c r="C179" s="1"/>
      <c r="D179" s="11"/>
      <c r="E179" s="11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3:36" ht="15.75" customHeight="1" x14ac:dyDescent="0.25">
      <c r="C180" s="1"/>
      <c r="D180" s="11"/>
      <c r="E180" s="11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3:36" ht="15.75" customHeight="1" x14ac:dyDescent="0.25">
      <c r="C181" s="1"/>
      <c r="D181" s="11"/>
      <c r="E181" s="11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3:36" ht="15.75" customHeight="1" x14ac:dyDescent="0.25">
      <c r="C182" s="1"/>
      <c r="D182" s="11"/>
      <c r="E182" s="11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3:36" ht="15.75" customHeight="1" x14ac:dyDescent="0.25">
      <c r="C183" s="1"/>
      <c r="D183" s="11"/>
      <c r="E183" s="11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3:36" ht="15.75" customHeight="1" x14ac:dyDescent="0.25">
      <c r="C184" s="1"/>
      <c r="D184" s="11"/>
      <c r="E184" s="11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3:36" ht="15.75" customHeight="1" x14ac:dyDescent="0.25">
      <c r="C185" s="1"/>
      <c r="D185" s="11"/>
      <c r="E185" s="11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3:36" ht="15.75" customHeight="1" x14ac:dyDescent="0.25">
      <c r="C186" s="1"/>
      <c r="D186" s="11"/>
      <c r="E186" s="11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3:36" ht="15.75" customHeight="1" x14ac:dyDescent="0.25">
      <c r="C187" s="1"/>
      <c r="D187" s="11"/>
      <c r="E187" s="11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3:36" ht="15.75" customHeight="1" x14ac:dyDescent="0.25">
      <c r="C188" s="1"/>
      <c r="D188" s="11"/>
      <c r="E188" s="11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3:36" ht="15.75" customHeight="1" x14ac:dyDescent="0.25">
      <c r="C189" s="1"/>
      <c r="D189" s="11"/>
      <c r="E189" s="11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3:36" ht="15.75" customHeight="1" x14ac:dyDescent="0.25">
      <c r="C190" s="1"/>
      <c r="D190" s="11"/>
      <c r="E190" s="11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3:36" ht="15.75" customHeight="1" x14ac:dyDescent="0.25">
      <c r="C191" s="1"/>
      <c r="D191" s="11"/>
      <c r="E191" s="11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3:36" ht="15.75" customHeight="1" x14ac:dyDescent="0.25">
      <c r="C192" s="1"/>
      <c r="D192" s="11"/>
      <c r="E192" s="11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3:36" ht="15.75" customHeight="1" x14ac:dyDescent="0.25">
      <c r="C193" s="1"/>
      <c r="D193" s="11"/>
      <c r="E193" s="11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3:36" ht="15.75" customHeight="1" x14ac:dyDescent="0.25">
      <c r="C194" s="1"/>
      <c r="D194" s="11"/>
      <c r="E194" s="11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3:36" ht="15.75" customHeight="1" x14ac:dyDescent="0.25">
      <c r="C195" s="1"/>
      <c r="D195" s="11"/>
      <c r="E195" s="11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3:36" ht="15.75" customHeight="1" x14ac:dyDescent="0.25">
      <c r="C196" s="1"/>
      <c r="D196" s="11"/>
      <c r="E196" s="11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3:36" ht="15.75" customHeight="1" x14ac:dyDescent="0.25">
      <c r="C197" s="1"/>
      <c r="D197" s="11"/>
      <c r="E197" s="11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3:36" ht="15.75" customHeight="1" x14ac:dyDescent="0.25">
      <c r="C198" s="1"/>
      <c r="D198" s="11"/>
      <c r="E198" s="11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3:36" ht="15.75" customHeight="1" x14ac:dyDescent="0.25">
      <c r="C199" s="1"/>
      <c r="D199" s="11"/>
      <c r="E199" s="11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3:36" ht="15.75" customHeight="1" x14ac:dyDescent="0.25">
      <c r="C200" s="1"/>
      <c r="D200" s="11"/>
      <c r="E200" s="11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3:36" ht="15.75" customHeight="1" x14ac:dyDescent="0.25">
      <c r="C201" s="1"/>
      <c r="D201" s="11"/>
      <c r="E201" s="11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3:36" ht="15.75" customHeight="1" x14ac:dyDescent="0.25">
      <c r="C202" s="1"/>
      <c r="D202" s="11"/>
      <c r="E202" s="11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3:36" ht="15.75" customHeight="1" x14ac:dyDescent="0.25">
      <c r="C203" s="1"/>
      <c r="D203" s="11"/>
      <c r="E203" s="11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3:36" ht="15.75" customHeight="1" x14ac:dyDescent="0.25">
      <c r="C204" s="1"/>
      <c r="D204" s="11"/>
      <c r="E204" s="11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3:36" ht="15.75" customHeight="1" x14ac:dyDescent="0.25">
      <c r="C205" s="1"/>
      <c r="D205" s="11"/>
      <c r="E205" s="11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3:36" ht="15.75" customHeight="1" x14ac:dyDescent="0.25">
      <c r="C206" s="1"/>
      <c r="D206" s="11"/>
      <c r="E206" s="11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3:36" ht="15.75" customHeight="1" x14ac:dyDescent="0.25">
      <c r="C207" s="1"/>
      <c r="D207" s="11"/>
      <c r="E207" s="11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3:36" ht="15.75" customHeight="1" x14ac:dyDescent="0.25">
      <c r="C208" s="1"/>
      <c r="D208" s="11"/>
      <c r="E208" s="11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3:36" ht="15.75" customHeight="1" x14ac:dyDescent="0.25">
      <c r="C209" s="1"/>
      <c r="D209" s="11"/>
      <c r="E209" s="11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3:36" ht="15.75" customHeight="1" x14ac:dyDescent="0.25">
      <c r="C210" s="1"/>
      <c r="D210" s="11"/>
      <c r="E210" s="11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3:36" ht="15.75" customHeight="1" x14ac:dyDescent="0.25">
      <c r="C211" s="1"/>
      <c r="D211" s="11"/>
      <c r="E211" s="11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3:36" ht="15.75" customHeight="1" x14ac:dyDescent="0.25">
      <c r="C212" s="1"/>
      <c r="D212" s="11"/>
      <c r="E212" s="11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3:36" ht="15.75" customHeight="1" x14ac:dyDescent="0.25">
      <c r="C213" s="1"/>
      <c r="D213" s="11"/>
      <c r="E213" s="11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3:36" ht="15.75" customHeight="1" x14ac:dyDescent="0.25">
      <c r="C214" s="1"/>
      <c r="D214" s="11"/>
      <c r="E214" s="11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3:36" ht="15.75" customHeight="1" x14ac:dyDescent="0.25">
      <c r="C215" s="1"/>
      <c r="D215" s="11"/>
      <c r="E215" s="11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3:36" ht="15.75" customHeight="1" x14ac:dyDescent="0.25">
      <c r="C216" s="1"/>
      <c r="D216" s="11"/>
      <c r="E216" s="11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3:36" ht="15.75" customHeight="1" x14ac:dyDescent="0.25">
      <c r="C217" s="1"/>
      <c r="D217" s="11"/>
      <c r="E217" s="11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3:36" ht="15.75" customHeight="1" x14ac:dyDescent="0.25">
      <c r="C218" s="1"/>
      <c r="D218" s="11"/>
      <c r="E218" s="11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3:36" ht="15.75" customHeight="1" x14ac:dyDescent="0.25">
      <c r="C219" s="1"/>
      <c r="D219" s="11"/>
      <c r="E219" s="11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3:36" ht="15.75" customHeight="1" x14ac:dyDescent="0.25">
      <c r="C220" s="1"/>
      <c r="D220" s="11"/>
      <c r="E220" s="11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3:36" ht="15.75" customHeight="1" x14ac:dyDescent="0.25">
      <c r="C221" s="1"/>
      <c r="D221" s="11"/>
      <c r="E221" s="11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3:36" ht="15.75" customHeight="1" x14ac:dyDescent="0.25">
      <c r="C222" s="1"/>
      <c r="D222" s="11"/>
      <c r="E222" s="11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3:36" ht="15.75" customHeight="1" x14ac:dyDescent="0.25">
      <c r="C223" s="1"/>
      <c r="D223" s="11"/>
      <c r="E223" s="11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3:36" ht="15.75" customHeight="1" x14ac:dyDescent="0.25">
      <c r="C224" s="1"/>
      <c r="D224" s="11"/>
      <c r="E224" s="11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3:36" ht="15.75" customHeight="1" x14ac:dyDescent="0.25">
      <c r="C225" s="1"/>
      <c r="D225" s="11"/>
      <c r="E225" s="11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3:36" ht="15.75" customHeight="1" x14ac:dyDescent="0.25">
      <c r="C226" s="1"/>
      <c r="D226" s="11"/>
      <c r="E226" s="11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3:36" ht="15.75" customHeight="1" x14ac:dyDescent="0.25">
      <c r="C227" s="1"/>
      <c r="D227" s="11"/>
      <c r="E227" s="11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3:36" ht="15.75" customHeight="1" x14ac:dyDescent="0.25">
      <c r="C228" s="1"/>
      <c r="D228" s="11"/>
      <c r="E228" s="11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3:36" ht="15.75" customHeight="1" x14ac:dyDescent="0.25">
      <c r="C229" s="1"/>
      <c r="D229" s="11"/>
      <c r="E229" s="11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3:36" ht="15.75" customHeight="1" x14ac:dyDescent="0.25">
      <c r="C230" s="1"/>
      <c r="D230" s="11"/>
      <c r="E230" s="11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3:36" ht="15.75" customHeight="1" x14ac:dyDescent="0.25">
      <c r="C231" s="1"/>
      <c r="D231" s="11"/>
      <c r="E231" s="11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3:36" ht="15.75" customHeight="1" x14ac:dyDescent="0.25">
      <c r="C232" s="1"/>
      <c r="D232" s="11"/>
      <c r="E232" s="11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3:36" ht="15.75" customHeight="1" x14ac:dyDescent="0.25">
      <c r="C233" s="1"/>
      <c r="D233" s="11"/>
      <c r="E233" s="11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3:36" ht="15.75" customHeight="1" x14ac:dyDescent="0.25">
      <c r="C234" s="1"/>
      <c r="D234" s="11"/>
      <c r="E234" s="11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3:36" ht="15.75" customHeight="1" x14ac:dyDescent="0.25">
      <c r="C235" s="1"/>
      <c r="D235" s="11"/>
      <c r="E235" s="11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3:36" ht="15.75" customHeight="1" x14ac:dyDescent="0.25">
      <c r="C236" s="1"/>
      <c r="D236" s="11"/>
      <c r="E236" s="11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3:36" ht="15.75" customHeight="1" x14ac:dyDescent="0.25">
      <c r="C237" s="1"/>
      <c r="D237" s="11"/>
      <c r="E237" s="11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3:36" ht="15.75" customHeight="1" x14ac:dyDescent="0.25">
      <c r="C238" s="1"/>
      <c r="D238" s="11"/>
      <c r="E238" s="11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3:36" ht="15.75" customHeight="1" x14ac:dyDescent="0.25">
      <c r="C239" s="1"/>
      <c r="D239" s="11"/>
      <c r="E239" s="11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3:36" ht="15.75" customHeight="1" x14ac:dyDescent="0.25">
      <c r="C240" s="1"/>
      <c r="D240" s="11"/>
      <c r="E240" s="11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3:36" ht="15.75" customHeight="1" x14ac:dyDescent="0.25">
      <c r="C241" s="1"/>
      <c r="D241" s="11"/>
      <c r="E241" s="11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3:36" ht="15.75" customHeight="1" x14ac:dyDescent="0.25">
      <c r="C242" s="1"/>
      <c r="D242" s="11"/>
      <c r="E242" s="11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3:36" ht="15.75" customHeight="1" x14ac:dyDescent="0.25">
      <c r="C243" s="1"/>
      <c r="D243" s="11"/>
      <c r="E243" s="11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3:36" ht="15.75" customHeight="1" x14ac:dyDescent="0.25">
      <c r="C244" s="1"/>
      <c r="D244" s="11"/>
      <c r="E244" s="11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3:36" ht="15.75" customHeight="1" x14ac:dyDescent="0.25">
      <c r="C245" s="1"/>
      <c r="D245" s="11"/>
      <c r="E245" s="11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3:36" ht="15.75" customHeight="1" x14ac:dyDescent="0.25">
      <c r="C246" s="1"/>
      <c r="D246" s="11"/>
      <c r="E246" s="11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3:36" ht="15.75" customHeight="1" x14ac:dyDescent="0.25">
      <c r="C247" s="1"/>
      <c r="D247" s="11"/>
      <c r="E247" s="11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3:36" ht="15.75" customHeight="1" x14ac:dyDescent="0.25">
      <c r="C248" s="1"/>
      <c r="D248" s="11"/>
      <c r="E248" s="11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3:36" ht="15.75" customHeight="1" x14ac:dyDescent="0.25">
      <c r="C249" s="1"/>
      <c r="D249" s="11"/>
      <c r="E249" s="11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3:36" ht="15.75" customHeight="1" x14ac:dyDescent="0.25">
      <c r="C250" s="1"/>
      <c r="D250" s="11"/>
      <c r="E250" s="11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3:36" ht="15.75" customHeight="1" x14ac:dyDescent="0.25">
      <c r="C251" s="1"/>
      <c r="D251" s="11"/>
      <c r="E251" s="11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3:36" ht="15.75" customHeight="1" x14ac:dyDescent="0.25">
      <c r="C252" s="1"/>
      <c r="D252" s="11"/>
      <c r="E252" s="11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3:36" ht="15.75" customHeight="1" x14ac:dyDescent="0.25">
      <c r="C253" s="1"/>
      <c r="D253" s="11"/>
      <c r="E253" s="11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3:36" ht="15.75" customHeight="1" x14ac:dyDescent="0.25">
      <c r="C254" s="1"/>
      <c r="D254" s="11"/>
      <c r="E254" s="11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3:36" ht="15.75" customHeight="1" x14ac:dyDescent="0.25">
      <c r="C255" s="1"/>
      <c r="D255" s="11"/>
      <c r="E255" s="11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3:36" ht="15.75" customHeight="1" x14ac:dyDescent="0.25">
      <c r="C256" s="1"/>
      <c r="D256" s="11"/>
      <c r="E256" s="11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3:36" ht="15.75" customHeight="1" x14ac:dyDescent="0.25">
      <c r="C257" s="1"/>
      <c r="D257" s="11"/>
      <c r="E257" s="11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3:36" ht="15.75" customHeight="1" x14ac:dyDescent="0.25">
      <c r="C258" s="1"/>
      <c r="D258" s="11"/>
      <c r="E258" s="11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3:36" ht="15.75" customHeight="1" x14ac:dyDescent="0.25">
      <c r="C259" s="1"/>
      <c r="D259" s="11"/>
      <c r="E259" s="11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3:36" ht="15.75" customHeight="1" x14ac:dyDescent="0.25">
      <c r="C260" s="1"/>
      <c r="D260" s="11"/>
      <c r="E260" s="11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3:36" ht="15.75" customHeight="1" x14ac:dyDescent="0.25">
      <c r="C261" s="1"/>
      <c r="D261" s="11"/>
      <c r="E261" s="11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3:36" ht="15.75" customHeight="1" x14ac:dyDescent="0.25">
      <c r="C262" s="1"/>
      <c r="D262" s="11"/>
      <c r="E262" s="11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3:36" ht="15.75" customHeight="1" x14ac:dyDescent="0.25">
      <c r="C263" s="1"/>
      <c r="D263" s="11"/>
      <c r="E263" s="11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3:36" ht="15.75" customHeight="1" x14ac:dyDescent="0.25">
      <c r="C264" s="1"/>
      <c r="D264" s="11"/>
      <c r="E264" s="11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3:36" ht="15.75" customHeight="1" x14ac:dyDescent="0.25">
      <c r="C265" s="1"/>
      <c r="D265" s="11"/>
      <c r="E265" s="11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3:36" ht="15.75" customHeight="1" x14ac:dyDescent="0.25">
      <c r="C266" s="1"/>
      <c r="D266" s="11"/>
      <c r="E266" s="11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3:36" ht="15.75" customHeight="1" x14ac:dyDescent="0.25">
      <c r="C267" s="1"/>
      <c r="D267" s="11"/>
      <c r="E267" s="11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3:36" ht="15.75" customHeight="1" x14ac:dyDescent="0.25">
      <c r="C268" s="1"/>
      <c r="D268" s="11"/>
      <c r="E268" s="11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3:36" ht="15.75" customHeight="1" x14ac:dyDescent="0.25">
      <c r="C269" s="1"/>
      <c r="D269" s="11"/>
      <c r="E269" s="11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3:36" ht="15.75" customHeight="1" x14ac:dyDescent="0.25">
      <c r="C270" s="1"/>
      <c r="D270" s="11"/>
      <c r="E270" s="11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3:36" ht="15.75" customHeight="1" x14ac:dyDescent="0.25">
      <c r="C271" s="1"/>
      <c r="D271" s="11"/>
      <c r="E271" s="11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3:36" ht="15.75" customHeight="1" x14ac:dyDescent="0.25">
      <c r="C272" s="1"/>
      <c r="D272" s="11"/>
      <c r="E272" s="11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3:36" ht="15.75" customHeight="1" x14ac:dyDescent="0.25">
      <c r="C273" s="1"/>
      <c r="D273" s="11"/>
      <c r="E273" s="11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3:36" ht="15.75" customHeight="1" x14ac:dyDescent="0.25">
      <c r="C274" s="1"/>
      <c r="D274" s="11"/>
      <c r="E274" s="11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3:36" ht="15.75" customHeight="1" x14ac:dyDescent="0.25">
      <c r="C275" s="1"/>
      <c r="D275" s="11"/>
      <c r="E275" s="11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3:36" ht="15.75" customHeight="1" x14ac:dyDescent="0.25">
      <c r="C276" s="1"/>
      <c r="D276" s="11"/>
      <c r="E276" s="11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3:36" ht="15.75" customHeight="1" x14ac:dyDescent="0.25">
      <c r="C277" s="1"/>
      <c r="D277" s="11"/>
      <c r="E277" s="11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3:36" ht="15.75" customHeight="1" x14ac:dyDescent="0.25">
      <c r="C278" s="1"/>
      <c r="D278" s="11"/>
      <c r="E278" s="11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3:36" ht="15.75" customHeight="1" x14ac:dyDescent="0.25">
      <c r="C279" s="1"/>
      <c r="D279" s="11"/>
      <c r="E279" s="11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3:36" ht="15.75" customHeight="1" x14ac:dyDescent="0.25">
      <c r="C280" s="1"/>
      <c r="D280" s="11"/>
      <c r="E280" s="11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3:36" ht="15.75" customHeight="1" x14ac:dyDescent="0.25">
      <c r="C281" s="1"/>
      <c r="D281" s="11"/>
      <c r="E281" s="11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3:36" ht="15.75" customHeight="1" x14ac:dyDescent="0.25">
      <c r="C282" s="1"/>
      <c r="D282" s="11"/>
      <c r="E282" s="11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3:36" ht="15.75" customHeight="1" x14ac:dyDescent="0.25">
      <c r="C283" s="1"/>
      <c r="D283" s="11"/>
      <c r="E283" s="11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3:36" ht="15.75" customHeight="1" x14ac:dyDescent="0.25">
      <c r="C284" s="1"/>
      <c r="D284" s="11"/>
      <c r="E284" s="11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3:36" ht="15.75" customHeight="1" x14ac:dyDescent="0.25">
      <c r="C285" s="1"/>
      <c r="D285" s="11"/>
      <c r="E285" s="11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3:36" ht="15.75" customHeight="1" x14ac:dyDescent="0.25">
      <c r="C286" s="1"/>
      <c r="D286" s="11"/>
      <c r="E286" s="11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3:36" ht="15.75" customHeight="1" x14ac:dyDescent="0.25">
      <c r="C287" s="1"/>
      <c r="D287" s="11"/>
      <c r="E287" s="11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3:36" ht="15.75" customHeight="1" x14ac:dyDescent="0.25">
      <c r="C288" s="1"/>
      <c r="D288" s="11"/>
      <c r="E288" s="11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3:36" ht="15.75" customHeight="1" x14ac:dyDescent="0.25">
      <c r="C289" s="1"/>
      <c r="D289" s="11"/>
      <c r="E289" s="11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3:36" ht="15.75" customHeight="1" x14ac:dyDescent="0.25">
      <c r="C290" s="1"/>
      <c r="D290" s="11"/>
      <c r="E290" s="11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3:36" ht="15.75" customHeight="1" x14ac:dyDescent="0.25">
      <c r="C291" s="1"/>
      <c r="D291" s="11"/>
      <c r="E291" s="11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3:36" ht="15.75" customHeight="1" x14ac:dyDescent="0.25">
      <c r="C292" s="1"/>
      <c r="D292" s="11"/>
      <c r="E292" s="11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3:36" ht="15.75" customHeight="1" x14ac:dyDescent="0.25">
      <c r="C293" s="1"/>
      <c r="D293" s="11"/>
      <c r="E293" s="11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3:36" ht="15.75" customHeight="1" x14ac:dyDescent="0.25">
      <c r="C294" s="1"/>
      <c r="D294" s="11"/>
      <c r="E294" s="11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3:36" ht="15.75" customHeight="1" x14ac:dyDescent="0.25">
      <c r="C295" s="1"/>
      <c r="D295" s="11"/>
      <c r="E295" s="11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3:36" ht="15.75" customHeight="1" x14ac:dyDescent="0.25">
      <c r="C296" s="1"/>
      <c r="D296" s="11"/>
      <c r="E296" s="11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3:36" ht="15.75" customHeight="1" x14ac:dyDescent="0.25">
      <c r="C297" s="1"/>
      <c r="D297" s="11"/>
      <c r="E297" s="11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3:36" ht="15.75" customHeight="1" x14ac:dyDescent="0.25">
      <c r="C298" s="1"/>
      <c r="D298" s="11"/>
      <c r="E298" s="11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3:36" ht="15.75" customHeight="1" x14ac:dyDescent="0.25">
      <c r="C299" s="1"/>
      <c r="D299" s="11"/>
      <c r="E299" s="11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3:36" ht="15.75" customHeight="1" x14ac:dyDescent="0.25">
      <c r="C300" s="1"/>
      <c r="D300" s="11"/>
      <c r="E300" s="11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3:36" ht="15.75" customHeight="1" x14ac:dyDescent="0.25">
      <c r="C301" s="1"/>
      <c r="D301" s="11"/>
      <c r="E301" s="11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3:36" ht="15.75" customHeight="1" x14ac:dyDescent="0.25">
      <c r="C302" s="1"/>
      <c r="D302" s="11"/>
      <c r="E302" s="11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3:36" ht="15.75" customHeight="1" x14ac:dyDescent="0.25">
      <c r="C303" s="1"/>
      <c r="D303" s="11"/>
      <c r="E303" s="11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3:36" ht="15.75" customHeight="1" x14ac:dyDescent="0.25">
      <c r="C304" s="1"/>
      <c r="D304" s="11"/>
      <c r="E304" s="11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3:36" ht="15.75" customHeight="1" x14ac:dyDescent="0.25">
      <c r="C305" s="1"/>
      <c r="D305" s="11"/>
      <c r="E305" s="11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3:36" ht="15.75" customHeight="1" x14ac:dyDescent="0.25">
      <c r="C306" s="1"/>
      <c r="D306" s="11"/>
      <c r="E306" s="11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3:36" ht="15.75" customHeight="1" x14ac:dyDescent="0.25">
      <c r="C307" s="1"/>
      <c r="D307" s="11"/>
      <c r="E307" s="11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3:36" ht="15.75" customHeight="1" x14ac:dyDescent="0.25">
      <c r="C308" s="1"/>
      <c r="D308" s="11"/>
      <c r="E308" s="11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3:36" ht="15.75" customHeight="1" x14ac:dyDescent="0.25">
      <c r="C309" s="1"/>
      <c r="D309" s="11"/>
      <c r="E309" s="11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3:36" ht="15.75" customHeight="1" x14ac:dyDescent="0.25">
      <c r="C310" s="1"/>
      <c r="D310" s="11"/>
      <c r="E310" s="11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3:36" ht="15.75" customHeight="1" x14ac:dyDescent="0.25">
      <c r="C311" s="1"/>
      <c r="D311" s="11"/>
      <c r="E311" s="11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3:36" ht="15.75" customHeight="1" x14ac:dyDescent="0.25">
      <c r="C312" s="1"/>
      <c r="D312" s="11"/>
      <c r="E312" s="11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3:36" ht="15.75" customHeight="1" x14ac:dyDescent="0.25">
      <c r="C313" s="1"/>
      <c r="D313" s="11"/>
      <c r="E313" s="11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3:36" ht="15.75" customHeight="1" x14ac:dyDescent="0.25">
      <c r="C314" s="1"/>
      <c r="D314" s="11"/>
      <c r="E314" s="11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3:36" ht="15.75" customHeight="1" x14ac:dyDescent="0.25">
      <c r="C315" s="1"/>
      <c r="D315" s="11"/>
      <c r="E315" s="11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3:36" ht="15.75" customHeight="1" x14ac:dyDescent="0.25">
      <c r="C316" s="1"/>
      <c r="D316" s="11"/>
      <c r="E316" s="11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3:36" ht="15.75" customHeight="1" x14ac:dyDescent="0.25">
      <c r="C317" s="1"/>
      <c r="D317" s="11"/>
      <c r="E317" s="11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3:36" ht="15.75" customHeight="1" x14ac:dyDescent="0.25">
      <c r="C318" s="1"/>
      <c r="D318" s="11"/>
      <c r="E318" s="11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3:36" ht="15.75" customHeight="1" x14ac:dyDescent="0.25">
      <c r="C319" s="1"/>
      <c r="D319" s="11"/>
      <c r="E319" s="11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3:36" ht="15.75" customHeight="1" x14ac:dyDescent="0.25">
      <c r="C320" s="1"/>
      <c r="D320" s="11"/>
      <c r="E320" s="11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3:36" ht="15.75" customHeight="1" x14ac:dyDescent="0.25">
      <c r="C321" s="1"/>
      <c r="D321" s="11"/>
      <c r="E321" s="11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3:36" ht="15.75" customHeight="1" x14ac:dyDescent="0.25">
      <c r="C322" s="1"/>
      <c r="D322" s="11"/>
      <c r="E322" s="11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3:36" ht="15.75" customHeight="1" x14ac:dyDescent="0.25">
      <c r="C323" s="1"/>
      <c r="D323" s="11"/>
      <c r="E323" s="11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3:36" ht="15.75" customHeight="1" x14ac:dyDescent="0.25">
      <c r="C324" s="1"/>
      <c r="D324" s="11"/>
      <c r="E324" s="11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3:36" ht="15.75" customHeight="1" x14ac:dyDescent="0.25">
      <c r="C325" s="1"/>
      <c r="D325" s="11"/>
      <c r="E325" s="11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3:36" ht="15.75" customHeight="1" x14ac:dyDescent="0.25">
      <c r="C326" s="1"/>
      <c r="D326" s="11"/>
      <c r="E326" s="11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3:36" ht="15.75" customHeight="1" x14ac:dyDescent="0.25">
      <c r="C327" s="1"/>
      <c r="D327" s="11"/>
      <c r="E327" s="11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3:36" ht="15.75" customHeight="1" x14ac:dyDescent="0.25">
      <c r="C328" s="1"/>
      <c r="D328" s="11"/>
      <c r="E328" s="11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3:36" ht="15.75" customHeight="1" x14ac:dyDescent="0.25">
      <c r="C329" s="1"/>
      <c r="D329" s="11"/>
      <c r="E329" s="11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3:36" ht="15.75" customHeight="1" x14ac:dyDescent="0.25">
      <c r="C330" s="1"/>
      <c r="D330" s="11"/>
      <c r="E330" s="11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3:36" ht="15.75" customHeight="1" x14ac:dyDescent="0.25">
      <c r="C331" s="1"/>
      <c r="D331" s="11"/>
      <c r="E331" s="11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3:36" ht="15.75" customHeight="1" x14ac:dyDescent="0.25">
      <c r="C332" s="1"/>
      <c r="D332" s="11"/>
      <c r="E332" s="11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3:36" ht="15.75" customHeight="1" x14ac:dyDescent="0.25">
      <c r="C333" s="1"/>
      <c r="D333" s="11"/>
      <c r="E333" s="11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3:36" ht="15.75" customHeight="1" x14ac:dyDescent="0.25">
      <c r="C334" s="1"/>
      <c r="D334" s="11"/>
      <c r="E334" s="11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3:36" ht="15.75" customHeight="1" x14ac:dyDescent="0.25">
      <c r="C335" s="1"/>
      <c r="D335" s="11"/>
      <c r="E335" s="11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3:36" ht="15.75" customHeight="1" x14ac:dyDescent="0.25">
      <c r="C336" s="1"/>
      <c r="D336" s="11"/>
      <c r="E336" s="11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3:36" ht="15.75" customHeight="1" x14ac:dyDescent="0.25">
      <c r="C337" s="1"/>
      <c r="D337" s="11"/>
      <c r="E337" s="11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3:36" ht="15.75" customHeight="1" x14ac:dyDescent="0.25">
      <c r="C338" s="1"/>
      <c r="D338" s="11"/>
      <c r="E338" s="11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3:36" ht="15.75" customHeight="1" x14ac:dyDescent="0.25">
      <c r="C339" s="1"/>
      <c r="D339" s="11"/>
      <c r="E339" s="11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3:36" ht="15.75" customHeight="1" x14ac:dyDescent="0.25">
      <c r="C340" s="1"/>
      <c r="D340" s="11"/>
      <c r="E340" s="11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3:36" ht="15.75" customHeight="1" x14ac:dyDescent="0.25">
      <c r="C341" s="1"/>
      <c r="D341" s="11"/>
      <c r="E341" s="11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3:36" ht="15.75" customHeight="1" x14ac:dyDescent="0.25">
      <c r="C342" s="1"/>
      <c r="D342" s="11"/>
      <c r="E342" s="11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3:36" ht="15.75" customHeight="1" x14ac:dyDescent="0.25">
      <c r="C343" s="1"/>
      <c r="D343" s="11"/>
      <c r="E343" s="11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3:36" ht="15.75" customHeight="1" x14ac:dyDescent="0.25">
      <c r="C344" s="1"/>
      <c r="D344" s="11"/>
      <c r="E344" s="11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3:36" ht="15.75" customHeight="1" x14ac:dyDescent="0.25">
      <c r="C345" s="1"/>
      <c r="D345" s="11"/>
      <c r="E345" s="11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3:36" ht="15.75" customHeight="1" x14ac:dyDescent="0.25">
      <c r="C346" s="1"/>
      <c r="D346" s="11"/>
      <c r="E346" s="11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3:36" ht="15.75" customHeight="1" x14ac:dyDescent="0.25">
      <c r="C347" s="1"/>
      <c r="D347" s="11"/>
      <c r="E347" s="11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3:36" ht="15.75" customHeight="1" x14ac:dyDescent="0.25">
      <c r="C348" s="1"/>
      <c r="D348" s="11"/>
      <c r="E348" s="11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3:36" ht="15.75" customHeight="1" x14ac:dyDescent="0.25">
      <c r="C349" s="1"/>
      <c r="D349" s="11"/>
      <c r="E349" s="11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3:36" ht="15.75" customHeight="1" x14ac:dyDescent="0.25">
      <c r="C350" s="1"/>
      <c r="D350" s="11"/>
      <c r="E350" s="11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3:36" ht="15.75" customHeight="1" x14ac:dyDescent="0.25">
      <c r="C351" s="1"/>
      <c r="D351" s="11"/>
      <c r="E351" s="11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3:36" ht="15.75" customHeight="1" x14ac:dyDescent="0.25">
      <c r="C352" s="1"/>
      <c r="D352" s="11"/>
      <c r="E352" s="11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3:36" ht="15.75" customHeight="1" x14ac:dyDescent="0.25">
      <c r="C353" s="1"/>
      <c r="D353" s="11"/>
      <c r="E353" s="11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3:36" ht="15.75" customHeight="1" x14ac:dyDescent="0.25">
      <c r="C354" s="1"/>
      <c r="D354" s="11"/>
      <c r="E354" s="11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3:36" ht="15.75" customHeight="1" x14ac:dyDescent="0.25">
      <c r="C355" s="1"/>
      <c r="D355" s="11"/>
      <c r="E355" s="11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3:36" ht="15.75" customHeight="1" x14ac:dyDescent="0.25">
      <c r="C356" s="1"/>
      <c r="D356" s="11"/>
      <c r="E356" s="11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3:36" ht="15.75" customHeight="1" x14ac:dyDescent="0.25">
      <c r="C357" s="1"/>
      <c r="D357" s="11"/>
      <c r="E357" s="11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3:36" ht="15.75" customHeight="1" x14ac:dyDescent="0.25">
      <c r="C358" s="1"/>
      <c r="D358" s="11"/>
      <c r="E358" s="11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3:36" ht="15.75" customHeight="1" x14ac:dyDescent="0.25">
      <c r="C359" s="1"/>
      <c r="D359" s="11"/>
      <c r="E359" s="11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3:36" ht="15.75" customHeight="1" x14ac:dyDescent="0.25">
      <c r="C360" s="1"/>
      <c r="D360" s="11"/>
      <c r="E360" s="11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3:36" ht="15.75" customHeight="1" x14ac:dyDescent="0.25">
      <c r="C361" s="1"/>
      <c r="D361" s="11"/>
      <c r="E361" s="11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3:36" ht="15.75" customHeight="1" x14ac:dyDescent="0.25">
      <c r="C362" s="1"/>
      <c r="D362" s="11"/>
      <c r="E362" s="11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3:36" ht="15.75" customHeight="1" x14ac:dyDescent="0.25">
      <c r="C363" s="1"/>
      <c r="D363" s="11"/>
      <c r="E363" s="11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3:36" ht="15.75" customHeight="1" x14ac:dyDescent="0.25">
      <c r="C364" s="1"/>
      <c r="D364" s="11"/>
      <c r="E364" s="11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3:36" ht="15.75" customHeight="1" x14ac:dyDescent="0.25">
      <c r="C365" s="1"/>
      <c r="D365" s="11"/>
      <c r="E365" s="11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3:36" ht="15.75" customHeight="1" x14ac:dyDescent="0.25">
      <c r="C366" s="1"/>
      <c r="D366" s="11"/>
      <c r="E366" s="11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3:36" ht="15.75" customHeight="1" x14ac:dyDescent="0.25">
      <c r="C367" s="1"/>
      <c r="D367" s="11"/>
      <c r="E367" s="11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3:36" ht="15.75" customHeight="1" x14ac:dyDescent="0.25">
      <c r="C368" s="1"/>
      <c r="D368" s="11"/>
      <c r="E368" s="11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3:36" ht="15.75" customHeight="1" x14ac:dyDescent="0.25">
      <c r="C369" s="1"/>
      <c r="D369" s="11"/>
      <c r="E369" s="11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3:36" ht="15.75" customHeight="1" x14ac:dyDescent="0.25">
      <c r="C370" s="1"/>
      <c r="D370" s="11"/>
      <c r="E370" s="11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3:36" ht="15.75" customHeight="1" x14ac:dyDescent="0.25">
      <c r="C371" s="1"/>
      <c r="D371" s="11"/>
      <c r="E371" s="11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3:36" ht="15.75" customHeight="1" x14ac:dyDescent="0.25">
      <c r="C372" s="1"/>
      <c r="D372" s="11"/>
      <c r="E372" s="11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3:36" ht="15.75" customHeight="1" x14ac:dyDescent="0.25">
      <c r="C373" s="1"/>
      <c r="D373" s="11"/>
      <c r="E373" s="11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3:36" ht="15.75" customHeight="1" x14ac:dyDescent="0.25">
      <c r="C374" s="1"/>
      <c r="D374" s="11"/>
      <c r="E374" s="11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3:36" ht="15.75" customHeight="1" x14ac:dyDescent="0.25">
      <c r="C375" s="1"/>
      <c r="D375" s="11"/>
      <c r="E375" s="11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3:36" ht="15.75" customHeight="1" x14ac:dyDescent="0.25">
      <c r="C376" s="1"/>
      <c r="D376" s="11"/>
      <c r="E376" s="11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3:36" ht="15.75" customHeight="1" x14ac:dyDescent="0.25">
      <c r="C377" s="1"/>
      <c r="D377" s="11"/>
      <c r="E377" s="11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3:36" ht="15.75" customHeight="1" x14ac:dyDescent="0.25">
      <c r="C378" s="1"/>
      <c r="D378" s="11"/>
      <c r="E378" s="11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3:36" ht="15.75" customHeight="1" x14ac:dyDescent="0.25">
      <c r="C379" s="1"/>
      <c r="D379" s="11"/>
      <c r="E379" s="11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3:36" ht="15.75" customHeight="1" x14ac:dyDescent="0.25">
      <c r="C380" s="1"/>
      <c r="D380" s="11"/>
      <c r="E380" s="11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3:36" ht="15.75" customHeight="1" x14ac:dyDescent="0.25">
      <c r="C381" s="1"/>
      <c r="D381" s="11"/>
      <c r="E381" s="11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3:36" ht="15.75" customHeight="1" x14ac:dyDescent="0.25">
      <c r="C382" s="1"/>
      <c r="D382" s="11"/>
      <c r="E382" s="11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3:36" ht="15.75" customHeight="1" x14ac:dyDescent="0.25">
      <c r="C383" s="1"/>
      <c r="D383" s="11"/>
      <c r="E383" s="11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3:36" ht="15.75" customHeight="1" x14ac:dyDescent="0.25">
      <c r="C384" s="1"/>
      <c r="D384" s="11"/>
      <c r="E384" s="11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3:36" ht="15.75" customHeight="1" x14ac:dyDescent="0.25">
      <c r="C385" s="1"/>
      <c r="D385" s="11"/>
      <c r="E385" s="11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3:36" ht="15.75" customHeight="1" x14ac:dyDescent="0.25">
      <c r="C386" s="1"/>
      <c r="D386" s="11"/>
      <c r="E386" s="11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3:36" ht="15.75" customHeight="1" x14ac:dyDescent="0.25">
      <c r="C387" s="1"/>
      <c r="D387" s="11"/>
      <c r="E387" s="11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3:36" ht="15.75" customHeight="1" x14ac:dyDescent="0.25">
      <c r="C388" s="1"/>
      <c r="D388" s="11"/>
      <c r="E388" s="11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3:36" ht="15.75" customHeight="1" x14ac:dyDescent="0.25">
      <c r="C389" s="1"/>
      <c r="D389" s="11"/>
      <c r="E389" s="11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3:36" ht="15.75" customHeight="1" x14ac:dyDescent="0.25">
      <c r="C390" s="1"/>
      <c r="D390" s="11"/>
      <c r="E390" s="11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3:36" ht="15.75" customHeight="1" x14ac:dyDescent="0.25">
      <c r="C391" s="1"/>
      <c r="D391" s="11"/>
      <c r="E391" s="11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3:36" ht="15.75" customHeight="1" x14ac:dyDescent="0.25">
      <c r="C392" s="1"/>
      <c r="D392" s="11"/>
      <c r="E392" s="11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3:36" ht="15.75" customHeight="1" x14ac:dyDescent="0.25">
      <c r="C393" s="1"/>
      <c r="D393" s="11"/>
      <c r="E393" s="11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3:36" ht="15.75" customHeight="1" x14ac:dyDescent="0.25">
      <c r="C394" s="1"/>
      <c r="D394" s="11"/>
      <c r="E394" s="11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3:36" ht="15.75" customHeight="1" x14ac:dyDescent="0.25">
      <c r="C395" s="1"/>
      <c r="D395" s="11"/>
      <c r="E395" s="11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3:36" ht="15.75" customHeight="1" x14ac:dyDescent="0.25">
      <c r="C396" s="1"/>
      <c r="D396" s="11"/>
      <c r="E396" s="11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3:36" ht="15.75" customHeight="1" x14ac:dyDescent="0.25">
      <c r="C397" s="1"/>
      <c r="D397" s="11"/>
      <c r="E397" s="11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3:36" ht="15.75" customHeight="1" x14ac:dyDescent="0.25">
      <c r="C398" s="1"/>
      <c r="D398" s="11"/>
      <c r="E398" s="11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3:36" ht="15.75" customHeight="1" x14ac:dyDescent="0.25">
      <c r="C399" s="1"/>
      <c r="D399" s="11"/>
      <c r="E399" s="11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3:36" ht="15.75" customHeight="1" x14ac:dyDescent="0.25">
      <c r="C400" s="1"/>
      <c r="D400" s="11"/>
      <c r="E400" s="11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3:36" ht="15.75" customHeight="1" x14ac:dyDescent="0.25">
      <c r="C401" s="1"/>
      <c r="D401" s="11"/>
      <c r="E401" s="11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3:36" ht="15.75" customHeight="1" x14ac:dyDescent="0.25">
      <c r="C402" s="1"/>
      <c r="D402" s="11"/>
      <c r="E402" s="11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3:36" ht="15.75" customHeight="1" x14ac:dyDescent="0.25">
      <c r="C403" s="1"/>
      <c r="D403" s="11"/>
      <c r="E403" s="11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3:36" ht="15.75" customHeight="1" x14ac:dyDescent="0.25">
      <c r="C404" s="1"/>
      <c r="D404" s="11"/>
      <c r="E404" s="11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3:36" ht="15.75" customHeight="1" x14ac:dyDescent="0.25">
      <c r="C405" s="1"/>
      <c r="D405" s="11"/>
      <c r="E405" s="11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3:36" ht="15.75" customHeight="1" x14ac:dyDescent="0.25">
      <c r="C406" s="1"/>
      <c r="D406" s="11"/>
      <c r="E406" s="11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3:36" ht="15.75" customHeight="1" x14ac:dyDescent="0.25">
      <c r="C407" s="1"/>
      <c r="D407" s="11"/>
      <c r="E407" s="11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3:36" ht="15.75" customHeight="1" x14ac:dyDescent="0.25">
      <c r="C408" s="1"/>
      <c r="D408" s="11"/>
      <c r="E408" s="11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3:36" ht="15.75" customHeight="1" x14ac:dyDescent="0.25">
      <c r="C409" s="1"/>
      <c r="D409" s="11"/>
      <c r="E409" s="11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3:36" ht="15.75" customHeight="1" x14ac:dyDescent="0.25">
      <c r="C410" s="1"/>
      <c r="D410" s="11"/>
      <c r="E410" s="11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3:36" ht="15.75" customHeight="1" x14ac:dyDescent="0.25">
      <c r="C411" s="1"/>
      <c r="D411" s="11"/>
      <c r="E411" s="11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3:36" ht="15.75" customHeight="1" x14ac:dyDescent="0.25">
      <c r="C412" s="1"/>
      <c r="D412" s="11"/>
      <c r="E412" s="11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3:36" ht="15.75" customHeight="1" x14ac:dyDescent="0.25">
      <c r="C413" s="1"/>
      <c r="D413" s="11"/>
      <c r="E413" s="11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3:36" ht="15.75" customHeight="1" x14ac:dyDescent="0.25">
      <c r="C414" s="1"/>
      <c r="D414" s="11"/>
      <c r="E414" s="11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3:36" ht="15.75" customHeight="1" x14ac:dyDescent="0.25">
      <c r="C415" s="1"/>
      <c r="D415" s="11"/>
      <c r="E415" s="11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3:36" ht="15.75" customHeight="1" x14ac:dyDescent="0.25">
      <c r="C416" s="1"/>
      <c r="D416" s="11"/>
      <c r="E416" s="11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3:36" ht="15.75" customHeight="1" x14ac:dyDescent="0.25">
      <c r="C417" s="1"/>
      <c r="D417" s="11"/>
      <c r="E417" s="11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3:36" ht="15.75" customHeight="1" x14ac:dyDescent="0.25">
      <c r="C418" s="1"/>
      <c r="D418" s="11"/>
      <c r="E418" s="11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3:36" ht="15.75" customHeight="1" x14ac:dyDescent="0.25">
      <c r="C419" s="1"/>
      <c r="D419" s="11"/>
      <c r="E419" s="11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3:36" ht="15.75" customHeight="1" x14ac:dyDescent="0.25">
      <c r="C420" s="1"/>
      <c r="D420" s="11"/>
      <c r="E420" s="11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3:36" ht="15.75" customHeight="1" x14ac:dyDescent="0.25">
      <c r="C421" s="1"/>
      <c r="D421" s="11"/>
      <c r="E421" s="11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3:36" ht="15.75" customHeight="1" x14ac:dyDescent="0.25">
      <c r="C422" s="1"/>
      <c r="D422" s="11"/>
      <c r="E422" s="11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3:36" ht="15.75" customHeight="1" x14ac:dyDescent="0.25">
      <c r="C423" s="1"/>
      <c r="D423" s="11"/>
      <c r="E423" s="11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3:36" ht="15.75" customHeight="1" x14ac:dyDescent="0.25">
      <c r="C424" s="1"/>
      <c r="D424" s="11"/>
      <c r="E424" s="11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3:36" ht="15.75" customHeight="1" x14ac:dyDescent="0.25">
      <c r="C425" s="1"/>
      <c r="D425" s="11"/>
      <c r="E425" s="11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3:36" ht="15.75" customHeight="1" x14ac:dyDescent="0.25">
      <c r="C426" s="1"/>
      <c r="D426" s="11"/>
      <c r="E426" s="11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3:36" ht="15.75" customHeight="1" x14ac:dyDescent="0.25">
      <c r="C427" s="1"/>
      <c r="D427" s="11"/>
      <c r="E427" s="11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3:36" ht="15.75" customHeight="1" x14ac:dyDescent="0.25">
      <c r="C428" s="1"/>
      <c r="D428" s="11"/>
      <c r="E428" s="11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3:36" ht="15.75" customHeight="1" x14ac:dyDescent="0.25">
      <c r="C429" s="1"/>
      <c r="D429" s="11"/>
      <c r="E429" s="11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3:36" ht="15.75" customHeight="1" x14ac:dyDescent="0.25">
      <c r="C430" s="1"/>
      <c r="D430" s="11"/>
      <c r="E430" s="11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3:36" ht="15.75" customHeight="1" x14ac:dyDescent="0.25">
      <c r="C431" s="1"/>
      <c r="D431" s="11"/>
      <c r="E431" s="11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3:36" ht="15.75" customHeight="1" x14ac:dyDescent="0.25">
      <c r="C432" s="1"/>
      <c r="D432" s="11"/>
      <c r="E432" s="11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3:36" ht="15.75" customHeight="1" x14ac:dyDescent="0.25">
      <c r="C433" s="1"/>
      <c r="D433" s="11"/>
      <c r="E433" s="11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3:36" ht="15.75" customHeight="1" x14ac:dyDescent="0.25">
      <c r="C434" s="1"/>
      <c r="D434" s="11"/>
      <c r="E434" s="11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3:36" ht="15.75" customHeight="1" x14ac:dyDescent="0.25">
      <c r="C435" s="1"/>
      <c r="D435" s="11"/>
      <c r="E435" s="11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3:36" ht="15.75" customHeight="1" x14ac:dyDescent="0.25">
      <c r="C436" s="1"/>
      <c r="D436" s="11"/>
      <c r="E436" s="11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3:36" ht="15.75" customHeight="1" x14ac:dyDescent="0.25">
      <c r="C437" s="1"/>
      <c r="D437" s="11"/>
      <c r="E437" s="11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3:36" ht="15.75" customHeight="1" x14ac:dyDescent="0.25">
      <c r="C438" s="1"/>
      <c r="D438" s="11"/>
      <c r="E438" s="11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3:36" ht="15.75" customHeight="1" x14ac:dyDescent="0.25">
      <c r="C439" s="1"/>
      <c r="D439" s="11"/>
      <c r="E439" s="11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3:36" ht="15.75" customHeight="1" x14ac:dyDescent="0.25">
      <c r="C440" s="1"/>
      <c r="D440" s="11"/>
      <c r="E440" s="11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3:36" ht="15.75" customHeight="1" x14ac:dyDescent="0.25">
      <c r="C441" s="1"/>
      <c r="D441" s="11"/>
      <c r="E441" s="11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3:36" ht="15.75" customHeight="1" x14ac:dyDescent="0.25">
      <c r="C442" s="1"/>
      <c r="D442" s="11"/>
      <c r="E442" s="11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3:36" ht="15.75" customHeight="1" x14ac:dyDescent="0.25">
      <c r="C443" s="1"/>
      <c r="D443" s="11"/>
      <c r="E443" s="11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3:36" ht="15.75" customHeight="1" x14ac:dyDescent="0.25">
      <c r="C444" s="1"/>
      <c r="D444" s="11"/>
      <c r="E444" s="11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3:36" ht="15.75" customHeight="1" x14ac:dyDescent="0.25">
      <c r="C445" s="1"/>
      <c r="D445" s="11"/>
      <c r="E445" s="11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3:36" ht="15.75" customHeight="1" x14ac:dyDescent="0.25">
      <c r="C446" s="1"/>
      <c r="D446" s="11"/>
      <c r="E446" s="11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3:36" ht="15.75" customHeight="1" x14ac:dyDescent="0.25">
      <c r="C447" s="1"/>
      <c r="D447" s="11"/>
      <c r="E447" s="11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3:36" ht="15.75" customHeight="1" x14ac:dyDescent="0.25">
      <c r="C448" s="1"/>
      <c r="D448" s="11"/>
      <c r="E448" s="11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3:36" ht="15.75" customHeight="1" x14ac:dyDescent="0.25">
      <c r="C449" s="1"/>
      <c r="D449" s="11"/>
      <c r="E449" s="11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3:36" ht="15.75" customHeight="1" x14ac:dyDescent="0.25">
      <c r="C450" s="1"/>
      <c r="D450" s="11"/>
      <c r="E450" s="11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3:36" ht="15.75" customHeight="1" x14ac:dyDescent="0.25">
      <c r="C451" s="1"/>
      <c r="D451" s="11"/>
      <c r="E451" s="11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3:36" ht="15.75" customHeight="1" x14ac:dyDescent="0.25">
      <c r="C452" s="1"/>
      <c r="D452" s="11"/>
      <c r="E452" s="11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3:36" ht="15.75" customHeight="1" x14ac:dyDescent="0.25">
      <c r="C453" s="1"/>
      <c r="D453" s="11"/>
      <c r="E453" s="11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3:36" ht="15.75" customHeight="1" x14ac:dyDescent="0.25">
      <c r="C454" s="1"/>
      <c r="D454" s="11"/>
      <c r="E454" s="11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3:36" ht="15.75" customHeight="1" x14ac:dyDescent="0.25">
      <c r="C455" s="1"/>
      <c r="D455" s="11"/>
      <c r="E455" s="11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3:36" ht="15.75" customHeight="1" x14ac:dyDescent="0.25">
      <c r="C456" s="1"/>
      <c r="D456" s="11"/>
      <c r="E456" s="11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3:36" ht="15.75" customHeight="1" x14ac:dyDescent="0.25">
      <c r="C457" s="1"/>
      <c r="D457" s="11"/>
      <c r="E457" s="11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3:36" ht="15.75" customHeight="1" x14ac:dyDescent="0.25">
      <c r="C458" s="1"/>
      <c r="D458" s="11"/>
      <c r="E458" s="11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3:36" ht="15.75" customHeight="1" x14ac:dyDescent="0.25">
      <c r="C459" s="1"/>
      <c r="D459" s="11"/>
      <c r="E459" s="11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3:36" ht="15.75" customHeight="1" x14ac:dyDescent="0.25">
      <c r="C460" s="1"/>
      <c r="D460" s="11"/>
      <c r="E460" s="11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3:36" ht="15.75" customHeight="1" x14ac:dyDescent="0.25">
      <c r="C461" s="1"/>
      <c r="D461" s="11"/>
      <c r="E461" s="11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3:36" ht="15.75" customHeight="1" x14ac:dyDescent="0.25">
      <c r="C462" s="1"/>
      <c r="D462" s="11"/>
      <c r="E462" s="11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3:36" ht="15.75" customHeight="1" x14ac:dyDescent="0.25">
      <c r="C463" s="1"/>
      <c r="D463" s="11"/>
      <c r="E463" s="11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3:36" ht="15.75" customHeight="1" x14ac:dyDescent="0.25">
      <c r="C464" s="1"/>
      <c r="D464" s="11"/>
      <c r="E464" s="11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3:36" ht="15.75" customHeight="1" x14ac:dyDescent="0.25">
      <c r="C465" s="1"/>
      <c r="D465" s="11"/>
      <c r="E465" s="11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3:36" ht="15.75" customHeight="1" x14ac:dyDescent="0.25">
      <c r="C466" s="1"/>
      <c r="D466" s="11"/>
      <c r="E466" s="11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3:36" ht="15.75" customHeight="1" x14ac:dyDescent="0.25">
      <c r="C467" s="1"/>
      <c r="D467" s="11"/>
      <c r="E467" s="11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3:36" ht="15.75" customHeight="1" x14ac:dyDescent="0.25">
      <c r="C468" s="1"/>
      <c r="D468" s="11"/>
      <c r="E468" s="11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3:36" ht="15.75" customHeight="1" x14ac:dyDescent="0.25">
      <c r="C469" s="1"/>
      <c r="D469" s="11"/>
      <c r="E469" s="11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3:36" ht="15.75" customHeight="1" x14ac:dyDescent="0.25">
      <c r="C470" s="1"/>
      <c r="D470" s="11"/>
      <c r="E470" s="11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3:36" ht="15.75" customHeight="1" x14ac:dyDescent="0.25">
      <c r="C471" s="1"/>
      <c r="D471" s="11"/>
      <c r="E471" s="11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3:36" ht="15.75" customHeight="1" x14ac:dyDescent="0.25">
      <c r="C472" s="1"/>
      <c r="D472" s="11"/>
      <c r="E472" s="11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3:36" ht="15.75" customHeight="1" x14ac:dyDescent="0.25">
      <c r="C473" s="1"/>
      <c r="D473" s="11"/>
      <c r="E473" s="11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3:36" ht="15.75" customHeight="1" x14ac:dyDescent="0.25">
      <c r="C474" s="1"/>
      <c r="D474" s="11"/>
      <c r="E474" s="11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3:36" ht="15.75" customHeight="1" x14ac:dyDescent="0.25">
      <c r="C475" s="1"/>
      <c r="D475" s="11"/>
      <c r="E475" s="11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3:36" ht="15.75" customHeight="1" x14ac:dyDescent="0.25">
      <c r="C476" s="1"/>
      <c r="D476" s="11"/>
      <c r="E476" s="11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3:36" ht="15.75" customHeight="1" x14ac:dyDescent="0.25">
      <c r="C477" s="1"/>
      <c r="D477" s="11"/>
      <c r="E477" s="11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3:36" ht="15.75" customHeight="1" x14ac:dyDescent="0.25">
      <c r="C478" s="1"/>
      <c r="D478" s="11"/>
      <c r="E478" s="11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3:36" ht="15.75" customHeight="1" x14ac:dyDescent="0.25">
      <c r="C479" s="1"/>
      <c r="D479" s="11"/>
      <c r="E479" s="11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3:36" ht="15.75" customHeight="1" x14ac:dyDescent="0.25">
      <c r="C480" s="1"/>
      <c r="D480" s="11"/>
      <c r="E480" s="11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3:36" ht="15.75" customHeight="1" x14ac:dyDescent="0.25">
      <c r="C481" s="1"/>
      <c r="D481" s="11"/>
      <c r="E481" s="11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3:36" ht="15.75" customHeight="1" x14ac:dyDescent="0.25">
      <c r="C482" s="1"/>
      <c r="D482" s="11"/>
      <c r="E482" s="11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3:36" ht="15.75" customHeight="1" x14ac:dyDescent="0.25">
      <c r="C483" s="1"/>
      <c r="D483" s="11"/>
      <c r="E483" s="11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3:36" ht="15.75" customHeight="1" x14ac:dyDescent="0.25">
      <c r="C484" s="1"/>
      <c r="D484" s="11"/>
      <c r="E484" s="11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3:36" ht="15.75" customHeight="1" x14ac:dyDescent="0.25">
      <c r="C485" s="1"/>
      <c r="D485" s="11"/>
      <c r="E485" s="11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3:36" ht="15.75" customHeight="1" x14ac:dyDescent="0.25">
      <c r="C486" s="1"/>
      <c r="D486" s="11"/>
      <c r="E486" s="11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3:36" ht="15.75" customHeight="1" x14ac:dyDescent="0.25">
      <c r="C487" s="1"/>
      <c r="D487" s="11"/>
      <c r="E487" s="11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3:36" ht="15.75" customHeight="1" x14ac:dyDescent="0.25">
      <c r="C488" s="1"/>
      <c r="D488" s="11"/>
      <c r="E488" s="11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3:36" ht="15.75" customHeight="1" x14ac:dyDescent="0.25">
      <c r="C489" s="1"/>
      <c r="D489" s="11"/>
      <c r="E489" s="11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3:36" ht="15.75" customHeight="1" x14ac:dyDescent="0.25">
      <c r="C490" s="1"/>
      <c r="D490" s="11"/>
      <c r="E490" s="11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3:36" ht="15.75" customHeight="1" x14ac:dyDescent="0.25">
      <c r="C491" s="1"/>
      <c r="D491" s="11"/>
      <c r="E491" s="11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3:36" ht="15.75" customHeight="1" x14ac:dyDescent="0.25">
      <c r="C492" s="1"/>
      <c r="D492" s="11"/>
      <c r="E492" s="11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3:36" ht="15.75" customHeight="1" x14ac:dyDescent="0.25">
      <c r="C493" s="1"/>
      <c r="D493" s="11"/>
      <c r="E493" s="11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3:36" ht="15.75" customHeight="1" x14ac:dyDescent="0.25">
      <c r="C494" s="1"/>
      <c r="D494" s="11"/>
      <c r="E494" s="11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3:36" ht="15.75" customHeight="1" x14ac:dyDescent="0.25">
      <c r="C495" s="1"/>
      <c r="D495" s="11"/>
      <c r="E495" s="11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3:36" ht="15.75" customHeight="1" x14ac:dyDescent="0.25">
      <c r="C496" s="1"/>
      <c r="D496" s="11"/>
      <c r="E496" s="11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3:36" ht="15.75" customHeight="1" x14ac:dyDescent="0.25">
      <c r="C497" s="1"/>
      <c r="D497" s="11"/>
      <c r="E497" s="11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3:36" ht="15.75" customHeight="1" x14ac:dyDescent="0.25">
      <c r="C498" s="1"/>
      <c r="D498" s="11"/>
      <c r="E498" s="11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3:36" ht="15.75" customHeight="1" x14ac:dyDescent="0.25">
      <c r="C499" s="1"/>
      <c r="D499" s="11"/>
      <c r="E499" s="11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3:36" ht="15.75" customHeight="1" x14ac:dyDescent="0.25">
      <c r="C500" s="1"/>
      <c r="D500" s="11"/>
      <c r="E500" s="11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3:36" ht="15.75" customHeight="1" x14ac:dyDescent="0.25">
      <c r="C501" s="1"/>
      <c r="D501" s="11"/>
      <c r="E501" s="11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3:36" ht="15.75" customHeight="1" x14ac:dyDescent="0.25">
      <c r="C502" s="1"/>
      <c r="D502" s="11"/>
      <c r="E502" s="11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3:36" ht="15.75" customHeight="1" x14ac:dyDescent="0.25">
      <c r="C503" s="1"/>
      <c r="D503" s="11"/>
      <c r="E503" s="11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3:36" ht="15.75" customHeight="1" x14ac:dyDescent="0.25">
      <c r="C504" s="1"/>
      <c r="D504" s="11"/>
      <c r="E504" s="11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3:36" ht="15.75" customHeight="1" x14ac:dyDescent="0.25">
      <c r="C505" s="1"/>
      <c r="D505" s="11"/>
      <c r="E505" s="11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3:36" ht="15.75" customHeight="1" x14ac:dyDescent="0.25">
      <c r="C506" s="1"/>
      <c r="D506" s="11"/>
      <c r="E506" s="11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3:36" ht="15.75" customHeight="1" x14ac:dyDescent="0.25">
      <c r="C507" s="1"/>
      <c r="D507" s="11"/>
      <c r="E507" s="11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3:36" ht="15.75" customHeight="1" x14ac:dyDescent="0.25">
      <c r="C508" s="1"/>
      <c r="D508" s="11"/>
      <c r="E508" s="11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3:36" ht="15.75" customHeight="1" x14ac:dyDescent="0.25">
      <c r="C509" s="1"/>
      <c r="D509" s="11"/>
      <c r="E509" s="11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3:36" ht="15.75" customHeight="1" x14ac:dyDescent="0.25">
      <c r="C510" s="1"/>
      <c r="D510" s="11"/>
      <c r="E510" s="11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3:36" ht="15.75" customHeight="1" x14ac:dyDescent="0.25">
      <c r="C511" s="1"/>
      <c r="D511" s="11"/>
      <c r="E511" s="11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3:36" ht="15.75" customHeight="1" x14ac:dyDescent="0.25">
      <c r="C512" s="1"/>
      <c r="D512" s="11"/>
      <c r="E512" s="11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3:36" ht="15.75" customHeight="1" x14ac:dyDescent="0.25">
      <c r="C513" s="1"/>
      <c r="D513" s="11"/>
      <c r="E513" s="11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3:36" ht="15.75" customHeight="1" x14ac:dyDescent="0.25">
      <c r="C514" s="1"/>
      <c r="D514" s="11"/>
      <c r="E514" s="11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3:36" ht="15.75" customHeight="1" x14ac:dyDescent="0.25">
      <c r="C515" s="1"/>
      <c r="D515" s="11"/>
      <c r="E515" s="11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3:36" ht="15.75" customHeight="1" x14ac:dyDescent="0.25">
      <c r="C516" s="1"/>
      <c r="D516" s="11"/>
      <c r="E516" s="11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3:36" ht="15.75" customHeight="1" x14ac:dyDescent="0.25">
      <c r="C517" s="1"/>
      <c r="D517" s="11"/>
      <c r="E517" s="11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3:36" ht="15.75" customHeight="1" x14ac:dyDescent="0.25">
      <c r="C518" s="1"/>
      <c r="D518" s="11"/>
      <c r="E518" s="11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3:36" ht="15.75" customHeight="1" x14ac:dyDescent="0.25">
      <c r="C519" s="1"/>
      <c r="D519" s="11"/>
      <c r="E519" s="11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3:36" ht="15.75" customHeight="1" x14ac:dyDescent="0.25">
      <c r="C520" s="1"/>
      <c r="D520" s="11"/>
      <c r="E520" s="11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3:36" ht="15.75" customHeight="1" x14ac:dyDescent="0.25">
      <c r="C521" s="1"/>
      <c r="D521" s="11"/>
      <c r="E521" s="11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3:36" ht="15.75" customHeight="1" x14ac:dyDescent="0.25">
      <c r="C522" s="1"/>
      <c r="D522" s="11"/>
      <c r="E522" s="11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3:36" ht="15.75" customHeight="1" x14ac:dyDescent="0.25">
      <c r="C523" s="1"/>
      <c r="D523" s="11"/>
      <c r="E523" s="11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3:36" ht="15.75" customHeight="1" x14ac:dyDescent="0.25">
      <c r="C524" s="1"/>
      <c r="D524" s="11"/>
      <c r="E524" s="11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3:36" ht="15.75" customHeight="1" x14ac:dyDescent="0.25">
      <c r="C525" s="1"/>
      <c r="D525" s="11"/>
      <c r="E525" s="11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3:36" ht="15.75" customHeight="1" x14ac:dyDescent="0.25">
      <c r="C526" s="1"/>
      <c r="D526" s="11"/>
      <c r="E526" s="11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3:36" ht="15.75" customHeight="1" x14ac:dyDescent="0.25">
      <c r="C527" s="1"/>
      <c r="D527" s="11"/>
      <c r="E527" s="11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3:36" ht="15.75" customHeight="1" x14ac:dyDescent="0.25">
      <c r="C528" s="1"/>
      <c r="D528" s="11"/>
      <c r="E528" s="11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3:36" ht="15.75" customHeight="1" x14ac:dyDescent="0.25">
      <c r="C529" s="1"/>
      <c r="D529" s="11"/>
      <c r="E529" s="11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3:36" ht="15.75" customHeight="1" x14ac:dyDescent="0.25">
      <c r="C530" s="1"/>
      <c r="D530" s="11"/>
      <c r="E530" s="11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3:36" ht="15.75" customHeight="1" x14ac:dyDescent="0.25">
      <c r="C531" s="1"/>
      <c r="D531" s="11"/>
      <c r="E531" s="11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3:36" ht="15.75" customHeight="1" x14ac:dyDescent="0.25">
      <c r="C532" s="1"/>
      <c r="D532" s="11"/>
      <c r="E532" s="11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3:36" ht="15.75" customHeight="1" x14ac:dyDescent="0.25">
      <c r="C533" s="1"/>
      <c r="D533" s="11"/>
      <c r="E533" s="11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3:36" ht="15.75" customHeight="1" x14ac:dyDescent="0.25">
      <c r="C534" s="1"/>
      <c r="D534" s="11"/>
      <c r="E534" s="11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3:36" ht="15.75" customHeight="1" x14ac:dyDescent="0.25">
      <c r="C535" s="1"/>
      <c r="D535" s="11"/>
      <c r="E535" s="11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3:36" ht="15.75" customHeight="1" x14ac:dyDescent="0.25">
      <c r="C536" s="1"/>
      <c r="D536" s="11"/>
      <c r="E536" s="11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3:36" ht="15.75" customHeight="1" x14ac:dyDescent="0.25">
      <c r="C537" s="1"/>
      <c r="D537" s="11"/>
      <c r="E537" s="11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3:36" ht="15.75" customHeight="1" x14ac:dyDescent="0.25">
      <c r="C538" s="1"/>
      <c r="D538" s="11"/>
      <c r="E538" s="11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3:36" ht="15.75" customHeight="1" x14ac:dyDescent="0.25">
      <c r="C539" s="1"/>
      <c r="D539" s="11"/>
      <c r="E539" s="11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3:36" ht="15.75" customHeight="1" x14ac:dyDescent="0.25">
      <c r="C540" s="1"/>
      <c r="D540" s="11"/>
      <c r="E540" s="11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3:36" ht="15.75" customHeight="1" x14ac:dyDescent="0.25">
      <c r="C541" s="1"/>
      <c r="D541" s="11"/>
      <c r="E541" s="11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3:36" ht="15.75" customHeight="1" x14ac:dyDescent="0.25">
      <c r="C542" s="1"/>
      <c r="D542" s="11"/>
      <c r="E542" s="11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3:36" ht="15.75" customHeight="1" x14ac:dyDescent="0.25">
      <c r="C543" s="1"/>
      <c r="D543" s="11"/>
      <c r="E543" s="11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3:36" ht="15.75" customHeight="1" x14ac:dyDescent="0.25">
      <c r="C544" s="1"/>
      <c r="D544" s="11"/>
      <c r="E544" s="11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3:36" ht="15.75" customHeight="1" x14ac:dyDescent="0.25">
      <c r="C545" s="1"/>
      <c r="D545" s="11"/>
      <c r="E545" s="11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3:36" ht="15.75" customHeight="1" x14ac:dyDescent="0.25">
      <c r="C546" s="1"/>
      <c r="D546" s="11"/>
      <c r="E546" s="11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3:36" ht="15.75" customHeight="1" x14ac:dyDescent="0.25">
      <c r="C547" s="1"/>
      <c r="D547" s="11"/>
      <c r="E547" s="11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3:36" ht="15.75" customHeight="1" x14ac:dyDescent="0.25">
      <c r="C548" s="1"/>
      <c r="D548" s="11"/>
      <c r="E548" s="11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3:36" ht="15.75" customHeight="1" x14ac:dyDescent="0.25">
      <c r="C549" s="1"/>
      <c r="D549" s="11"/>
      <c r="E549" s="11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3:36" ht="15.75" customHeight="1" x14ac:dyDescent="0.25">
      <c r="C550" s="1"/>
      <c r="D550" s="11"/>
      <c r="E550" s="11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3:36" ht="15.75" customHeight="1" x14ac:dyDescent="0.25">
      <c r="C551" s="1"/>
      <c r="D551" s="11"/>
      <c r="E551" s="11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3:36" ht="15.75" customHeight="1" x14ac:dyDescent="0.25">
      <c r="C552" s="1"/>
      <c r="D552" s="11"/>
      <c r="E552" s="11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3:36" ht="15.75" customHeight="1" x14ac:dyDescent="0.25">
      <c r="C553" s="1"/>
      <c r="D553" s="11"/>
      <c r="E553" s="11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3:36" ht="15.75" customHeight="1" x14ac:dyDescent="0.25">
      <c r="C554" s="1"/>
      <c r="D554" s="11"/>
      <c r="E554" s="11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3:36" ht="15.75" customHeight="1" x14ac:dyDescent="0.25">
      <c r="C555" s="1"/>
      <c r="D555" s="11"/>
      <c r="E555" s="11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3:36" ht="15.75" customHeight="1" x14ac:dyDescent="0.25">
      <c r="C556" s="1"/>
      <c r="D556" s="11"/>
      <c r="E556" s="11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3:36" ht="15.75" customHeight="1" x14ac:dyDescent="0.25">
      <c r="C557" s="1"/>
      <c r="D557" s="11"/>
      <c r="E557" s="11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3:36" ht="15.75" customHeight="1" x14ac:dyDescent="0.25">
      <c r="C558" s="1"/>
      <c r="D558" s="11"/>
      <c r="E558" s="11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3:36" ht="15.75" customHeight="1" x14ac:dyDescent="0.25">
      <c r="C559" s="1"/>
      <c r="D559" s="11"/>
      <c r="E559" s="11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3:36" ht="15.75" customHeight="1" x14ac:dyDescent="0.25">
      <c r="C560" s="1"/>
      <c r="D560" s="11"/>
      <c r="E560" s="11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3:36" ht="15.75" customHeight="1" x14ac:dyDescent="0.25">
      <c r="C561" s="1"/>
      <c r="D561" s="11"/>
      <c r="E561" s="11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3:36" ht="15.75" customHeight="1" x14ac:dyDescent="0.25">
      <c r="C562" s="1"/>
      <c r="D562" s="11"/>
      <c r="E562" s="11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3:36" ht="15.75" customHeight="1" x14ac:dyDescent="0.25">
      <c r="C563" s="1"/>
      <c r="D563" s="11"/>
      <c r="E563" s="11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3:36" ht="15.75" customHeight="1" x14ac:dyDescent="0.25">
      <c r="C564" s="1"/>
      <c r="D564" s="11"/>
      <c r="E564" s="11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3:36" ht="15.75" customHeight="1" x14ac:dyDescent="0.25">
      <c r="C565" s="1"/>
      <c r="D565" s="11"/>
      <c r="E565" s="11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3:36" ht="15.75" customHeight="1" x14ac:dyDescent="0.25">
      <c r="C566" s="1"/>
      <c r="D566" s="11"/>
      <c r="E566" s="11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3:36" ht="15.75" customHeight="1" x14ac:dyDescent="0.25">
      <c r="C567" s="1"/>
      <c r="D567" s="11"/>
      <c r="E567" s="11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3:36" ht="15.75" customHeight="1" x14ac:dyDescent="0.25">
      <c r="C568" s="1"/>
      <c r="D568" s="11"/>
      <c r="E568" s="11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3:36" ht="15.75" customHeight="1" x14ac:dyDescent="0.25">
      <c r="C569" s="1"/>
      <c r="D569" s="11"/>
      <c r="E569" s="11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3:36" ht="15.75" customHeight="1" x14ac:dyDescent="0.25">
      <c r="C570" s="1"/>
      <c r="D570" s="11"/>
      <c r="E570" s="11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3:36" ht="15.75" customHeight="1" x14ac:dyDescent="0.25">
      <c r="C571" s="1"/>
      <c r="D571" s="11"/>
      <c r="E571" s="11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3:36" ht="15.75" customHeight="1" x14ac:dyDescent="0.25">
      <c r="C572" s="1"/>
      <c r="D572" s="11"/>
      <c r="E572" s="11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3:36" ht="15.75" customHeight="1" x14ac:dyDescent="0.25">
      <c r="C573" s="1"/>
      <c r="D573" s="11"/>
      <c r="E573" s="11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3:36" ht="15.75" customHeight="1" x14ac:dyDescent="0.25">
      <c r="C574" s="1"/>
      <c r="D574" s="11"/>
      <c r="E574" s="11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3:36" ht="15.75" customHeight="1" x14ac:dyDescent="0.25">
      <c r="C575" s="1"/>
      <c r="D575" s="11"/>
      <c r="E575" s="11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3:36" ht="15.75" customHeight="1" x14ac:dyDescent="0.25">
      <c r="C576" s="1"/>
      <c r="D576" s="11"/>
      <c r="E576" s="11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3:36" ht="15.75" customHeight="1" x14ac:dyDescent="0.25">
      <c r="C577" s="1"/>
      <c r="D577" s="11"/>
      <c r="E577" s="11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3:36" ht="15.75" customHeight="1" x14ac:dyDescent="0.25">
      <c r="C578" s="1"/>
      <c r="D578" s="11"/>
      <c r="E578" s="11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3:36" ht="15.75" customHeight="1" x14ac:dyDescent="0.25">
      <c r="C579" s="1"/>
      <c r="D579" s="11"/>
      <c r="E579" s="11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3:36" ht="15.75" customHeight="1" x14ac:dyDescent="0.25">
      <c r="C580" s="1"/>
      <c r="D580" s="11"/>
      <c r="E580" s="11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3:36" ht="15.75" customHeight="1" x14ac:dyDescent="0.25">
      <c r="C581" s="1"/>
      <c r="D581" s="11"/>
      <c r="E581" s="11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3:36" ht="15.75" customHeight="1" x14ac:dyDescent="0.25">
      <c r="C582" s="1"/>
      <c r="D582" s="11"/>
      <c r="E582" s="11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3:36" ht="15.75" customHeight="1" x14ac:dyDescent="0.25">
      <c r="C583" s="1"/>
      <c r="D583" s="11"/>
      <c r="E583" s="11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3:36" ht="15.75" customHeight="1" x14ac:dyDescent="0.25">
      <c r="C584" s="1"/>
      <c r="D584" s="11"/>
      <c r="E584" s="11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3:36" ht="15.75" customHeight="1" x14ac:dyDescent="0.25">
      <c r="C585" s="1"/>
      <c r="D585" s="11"/>
      <c r="E585" s="11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3:36" ht="15.75" customHeight="1" x14ac:dyDescent="0.25">
      <c r="C586" s="1"/>
      <c r="D586" s="11"/>
      <c r="E586" s="11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3:36" ht="15.75" customHeight="1" x14ac:dyDescent="0.25">
      <c r="C587" s="1"/>
      <c r="D587" s="11"/>
      <c r="E587" s="11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3:36" ht="15.75" customHeight="1" x14ac:dyDescent="0.25">
      <c r="C588" s="1"/>
      <c r="D588" s="11"/>
      <c r="E588" s="11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3:36" ht="15.75" customHeight="1" x14ac:dyDescent="0.25">
      <c r="C589" s="1"/>
      <c r="D589" s="11"/>
      <c r="E589" s="11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3:36" ht="15.75" customHeight="1" x14ac:dyDescent="0.25">
      <c r="C590" s="1"/>
      <c r="D590" s="11"/>
      <c r="E590" s="11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3:36" ht="15.75" customHeight="1" x14ac:dyDescent="0.25">
      <c r="C591" s="1"/>
      <c r="D591" s="11"/>
      <c r="E591" s="11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3:36" ht="15.75" customHeight="1" x14ac:dyDescent="0.25">
      <c r="C592" s="1"/>
      <c r="D592" s="11"/>
      <c r="E592" s="11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3:36" ht="15.75" customHeight="1" x14ac:dyDescent="0.25">
      <c r="C593" s="1"/>
      <c r="D593" s="11"/>
      <c r="E593" s="11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3:36" ht="15.75" customHeight="1" x14ac:dyDescent="0.25">
      <c r="C594" s="1"/>
      <c r="D594" s="11"/>
      <c r="E594" s="11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3:36" ht="15.75" customHeight="1" x14ac:dyDescent="0.25">
      <c r="C595" s="1"/>
      <c r="D595" s="11"/>
      <c r="E595" s="11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3:36" ht="15.75" customHeight="1" x14ac:dyDescent="0.25">
      <c r="C596" s="1"/>
      <c r="D596" s="11"/>
      <c r="E596" s="11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3:36" ht="15.75" customHeight="1" x14ac:dyDescent="0.25">
      <c r="C597" s="1"/>
      <c r="D597" s="11"/>
      <c r="E597" s="11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3:36" ht="15.75" customHeight="1" x14ac:dyDescent="0.25">
      <c r="C598" s="1"/>
      <c r="D598" s="11"/>
      <c r="E598" s="11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3:36" ht="15.75" customHeight="1" x14ac:dyDescent="0.25">
      <c r="C599" s="1"/>
      <c r="D599" s="11"/>
      <c r="E599" s="11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3:36" ht="15.75" customHeight="1" x14ac:dyDescent="0.25">
      <c r="C600" s="1"/>
      <c r="D600" s="11"/>
      <c r="E600" s="11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3:36" ht="15.75" customHeight="1" x14ac:dyDescent="0.25">
      <c r="C601" s="1"/>
      <c r="D601" s="11"/>
      <c r="E601" s="11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3:36" ht="15.75" customHeight="1" x14ac:dyDescent="0.25">
      <c r="C602" s="1"/>
      <c r="D602" s="11"/>
      <c r="E602" s="11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3:36" ht="15.75" customHeight="1" x14ac:dyDescent="0.25">
      <c r="C603" s="1"/>
      <c r="D603" s="11"/>
      <c r="E603" s="11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3:36" ht="15.75" customHeight="1" x14ac:dyDescent="0.25">
      <c r="C604" s="1"/>
      <c r="D604" s="11"/>
      <c r="E604" s="11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3:36" ht="15.75" customHeight="1" x14ac:dyDescent="0.25">
      <c r="C605" s="1"/>
      <c r="D605" s="11"/>
      <c r="E605" s="11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3:36" ht="15.75" customHeight="1" x14ac:dyDescent="0.25">
      <c r="C606" s="1"/>
      <c r="D606" s="11"/>
      <c r="E606" s="11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3:36" ht="15.75" customHeight="1" x14ac:dyDescent="0.25">
      <c r="C607" s="1"/>
      <c r="D607" s="11"/>
      <c r="E607" s="11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3:36" ht="15.75" customHeight="1" x14ac:dyDescent="0.25">
      <c r="C608" s="1"/>
      <c r="D608" s="11"/>
      <c r="E608" s="11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3:36" ht="15.75" customHeight="1" x14ac:dyDescent="0.25">
      <c r="C609" s="1"/>
      <c r="D609" s="11"/>
      <c r="E609" s="11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3:36" ht="15.75" customHeight="1" x14ac:dyDescent="0.25">
      <c r="C610" s="1"/>
      <c r="D610" s="11"/>
      <c r="E610" s="11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3:36" ht="15.75" customHeight="1" x14ac:dyDescent="0.25">
      <c r="C611" s="1"/>
      <c r="D611" s="11"/>
      <c r="E611" s="11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3:36" ht="15.75" customHeight="1" x14ac:dyDescent="0.25">
      <c r="C612" s="1"/>
      <c r="D612" s="11"/>
      <c r="E612" s="11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3:36" ht="15.75" customHeight="1" x14ac:dyDescent="0.25">
      <c r="C613" s="1"/>
      <c r="D613" s="11"/>
      <c r="E613" s="11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3:36" ht="15.75" customHeight="1" x14ac:dyDescent="0.25">
      <c r="C614" s="1"/>
      <c r="D614" s="11"/>
      <c r="E614" s="11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3:36" ht="15.75" customHeight="1" x14ac:dyDescent="0.25">
      <c r="C615" s="1"/>
      <c r="D615" s="11"/>
      <c r="E615" s="11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3:36" ht="15.75" customHeight="1" x14ac:dyDescent="0.25">
      <c r="C616" s="1"/>
      <c r="D616" s="11"/>
      <c r="E616" s="11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3:36" ht="15.75" customHeight="1" x14ac:dyDescent="0.25">
      <c r="C617" s="1"/>
      <c r="D617" s="11"/>
      <c r="E617" s="11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3:36" ht="15.75" customHeight="1" x14ac:dyDescent="0.25">
      <c r="C618" s="1"/>
      <c r="D618" s="11"/>
      <c r="E618" s="11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3:36" ht="15.75" customHeight="1" x14ac:dyDescent="0.25">
      <c r="C619" s="1"/>
      <c r="D619" s="11"/>
      <c r="E619" s="11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3:36" ht="15.75" customHeight="1" x14ac:dyDescent="0.25">
      <c r="C620" s="1"/>
      <c r="D620" s="11"/>
      <c r="E620" s="11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3:36" ht="15.75" customHeight="1" x14ac:dyDescent="0.25">
      <c r="C621" s="1"/>
      <c r="D621" s="11"/>
      <c r="E621" s="11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3:36" ht="15.75" customHeight="1" x14ac:dyDescent="0.25">
      <c r="C622" s="1"/>
      <c r="D622" s="11"/>
      <c r="E622" s="11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3:36" ht="15.75" customHeight="1" x14ac:dyDescent="0.25">
      <c r="C623" s="1"/>
      <c r="D623" s="11"/>
      <c r="E623" s="11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3:36" ht="15.75" customHeight="1" x14ac:dyDescent="0.25">
      <c r="C624" s="1"/>
      <c r="D624" s="11"/>
      <c r="E624" s="11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3:36" ht="15.75" customHeight="1" x14ac:dyDescent="0.25">
      <c r="C625" s="1"/>
      <c r="D625" s="11"/>
      <c r="E625" s="11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3:36" ht="15.75" customHeight="1" x14ac:dyDescent="0.25">
      <c r="C626" s="1"/>
      <c r="D626" s="11"/>
      <c r="E626" s="11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3:36" ht="15.75" customHeight="1" x14ac:dyDescent="0.25">
      <c r="C627" s="1"/>
      <c r="D627" s="11"/>
      <c r="E627" s="11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3:36" ht="15.75" customHeight="1" x14ac:dyDescent="0.25">
      <c r="C628" s="1"/>
      <c r="D628" s="11"/>
      <c r="E628" s="11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3:36" ht="15.75" customHeight="1" x14ac:dyDescent="0.25">
      <c r="C629" s="1"/>
      <c r="D629" s="11"/>
      <c r="E629" s="11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3:36" ht="15.75" customHeight="1" x14ac:dyDescent="0.25">
      <c r="C630" s="1"/>
      <c r="D630" s="11"/>
      <c r="E630" s="11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3:36" ht="15.75" customHeight="1" x14ac:dyDescent="0.25">
      <c r="C631" s="1"/>
      <c r="D631" s="11"/>
      <c r="E631" s="11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3:36" ht="15.75" customHeight="1" x14ac:dyDescent="0.25">
      <c r="C632" s="1"/>
      <c r="D632" s="11"/>
      <c r="E632" s="11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3:36" ht="15.75" customHeight="1" x14ac:dyDescent="0.25">
      <c r="C633" s="1"/>
      <c r="D633" s="11"/>
      <c r="E633" s="11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3:36" ht="15.75" customHeight="1" x14ac:dyDescent="0.25">
      <c r="C634" s="1"/>
      <c r="D634" s="11"/>
      <c r="E634" s="11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3:36" ht="15.75" customHeight="1" x14ac:dyDescent="0.25">
      <c r="C635" s="1"/>
      <c r="D635" s="11"/>
      <c r="E635" s="11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3:36" ht="15.75" customHeight="1" x14ac:dyDescent="0.25">
      <c r="C636" s="1"/>
      <c r="D636" s="11"/>
      <c r="E636" s="11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3:36" ht="15.75" customHeight="1" x14ac:dyDescent="0.25">
      <c r="C637" s="1"/>
      <c r="D637" s="11"/>
      <c r="E637" s="11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3:36" ht="15.75" customHeight="1" x14ac:dyDescent="0.25">
      <c r="C638" s="1"/>
      <c r="D638" s="11"/>
      <c r="E638" s="11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3:36" ht="15.75" customHeight="1" x14ac:dyDescent="0.25">
      <c r="C639" s="1"/>
      <c r="D639" s="11"/>
      <c r="E639" s="11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3:36" ht="15.75" customHeight="1" x14ac:dyDescent="0.25">
      <c r="C640" s="1"/>
      <c r="D640" s="11"/>
      <c r="E640" s="11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3:36" ht="15.75" customHeight="1" x14ac:dyDescent="0.25">
      <c r="C641" s="1"/>
      <c r="D641" s="11"/>
      <c r="E641" s="11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3:36" ht="15.75" customHeight="1" x14ac:dyDescent="0.25">
      <c r="C642" s="1"/>
      <c r="D642" s="11"/>
      <c r="E642" s="11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3:36" ht="15.75" customHeight="1" x14ac:dyDescent="0.25">
      <c r="C643" s="1"/>
      <c r="D643" s="11"/>
      <c r="E643" s="11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3:36" ht="15.75" customHeight="1" x14ac:dyDescent="0.25">
      <c r="C644" s="1"/>
      <c r="D644" s="11"/>
      <c r="E644" s="11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3:36" ht="15.75" customHeight="1" x14ac:dyDescent="0.25">
      <c r="C645" s="1"/>
      <c r="D645" s="11"/>
      <c r="E645" s="11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3:36" ht="15.75" customHeight="1" x14ac:dyDescent="0.25">
      <c r="C646" s="1"/>
      <c r="D646" s="11"/>
      <c r="E646" s="11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3:36" ht="15.75" customHeight="1" x14ac:dyDescent="0.25">
      <c r="C647" s="1"/>
      <c r="D647" s="11"/>
      <c r="E647" s="11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3:36" ht="15.75" customHeight="1" x14ac:dyDescent="0.25">
      <c r="C648" s="1"/>
      <c r="D648" s="11"/>
      <c r="E648" s="11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3:36" ht="15.75" customHeight="1" x14ac:dyDescent="0.25">
      <c r="C649" s="1"/>
      <c r="D649" s="11"/>
      <c r="E649" s="11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3:36" ht="15.75" customHeight="1" x14ac:dyDescent="0.25">
      <c r="C650" s="1"/>
      <c r="D650" s="11"/>
      <c r="E650" s="11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3:36" ht="15.75" customHeight="1" x14ac:dyDescent="0.25">
      <c r="C651" s="1"/>
      <c r="D651" s="11"/>
      <c r="E651" s="11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3:36" ht="15.75" customHeight="1" x14ac:dyDescent="0.25">
      <c r="C652" s="1"/>
      <c r="D652" s="11"/>
      <c r="E652" s="11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3:36" ht="15.75" customHeight="1" x14ac:dyDescent="0.25">
      <c r="C653" s="1"/>
      <c r="D653" s="11"/>
      <c r="E653" s="11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3:36" ht="15.75" customHeight="1" x14ac:dyDescent="0.25">
      <c r="C654" s="1"/>
      <c r="D654" s="11"/>
      <c r="E654" s="11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3:36" ht="15.75" customHeight="1" x14ac:dyDescent="0.25">
      <c r="C655" s="1"/>
      <c r="D655" s="11"/>
      <c r="E655" s="11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3:36" ht="15.75" customHeight="1" x14ac:dyDescent="0.25">
      <c r="C656" s="1"/>
      <c r="D656" s="11"/>
      <c r="E656" s="11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3:36" ht="15.75" customHeight="1" x14ac:dyDescent="0.25">
      <c r="C657" s="1"/>
      <c r="D657" s="11"/>
      <c r="E657" s="11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3:36" ht="15.75" customHeight="1" x14ac:dyDescent="0.25">
      <c r="C658" s="1"/>
      <c r="D658" s="11"/>
      <c r="E658" s="11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3:36" ht="15.75" customHeight="1" x14ac:dyDescent="0.25">
      <c r="C659" s="1"/>
      <c r="D659" s="11"/>
      <c r="E659" s="11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3:36" ht="15.75" customHeight="1" x14ac:dyDescent="0.25">
      <c r="C660" s="1"/>
      <c r="D660" s="11"/>
      <c r="E660" s="11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3:36" ht="15.75" customHeight="1" x14ac:dyDescent="0.25">
      <c r="C661" s="1"/>
      <c r="D661" s="11"/>
      <c r="E661" s="11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3:36" ht="15.75" customHeight="1" x14ac:dyDescent="0.25">
      <c r="C662" s="1"/>
      <c r="D662" s="11"/>
      <c r="E662" s="11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3:36" ht="15.75" customHeight="1" x14ac:dyDescent="0.25">
      <c r="C663" s="1"/>
      <c r="D663" s="11"/>
      <c r="E663" s="11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3:36" ht="15.75" customHeight="1" x14ac:dyDescent="0.25">
      <c r="C664" s="1"/>
      <c r="D664" s="11"/>
      <c r="E664" s="11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3:36" ht="15.75" customHeight="1" x14ac:dyDescent="0.25">
      <c r="C665" s="1"/>
      <c r="D665" s="11"/>
      <c r="E665" s="11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3:36" ht="15.75" customHeight="1" x14ac:dyDescent="0.25">
      <c r="C666" s="1"/>
      <c r="D666" s="11"/>
      <c r="E666" s="11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3:36" ht="15.75" customHeight="1" x14ac:dyDescent="0.25">
      <c r="C667" s="1"/>
      <c r="D667" s="11"/>
      <c r="E667" s="11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3:36" ht="15.75" customHeight="1" x14ac:dyDescent="0.25">
      <c r="C668" s="1"/>
      <c r="D668" s="11"/>
      <c r="E668" s="11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3:36" ht="15.75" customHeight="1" x14ac:dyDescent="0.25">
      <c r="C669" s="1"/>
      <c r="D669" s="11"/>
      <c r="E669" s="11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3:36" ht="15.75" customHeight="1" x14ac:dyDescent="0.25">
      <c r="C670" s="1"/>
      <c r="D670" s="11"/>
      <c r="E670" s="11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3:36" ht="15.75" customHeight="1" x14ac:dyDescent="0.25">
      <c r="C671" s="1"/>
      <c r="D671" s="11"/>
      <c r="E671" s="11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3:36" ht="15.75" customHeight="1" x14ac:dyDescent="0.25">
      <c r="C672" s="1"/>
      <c r="D672" s="11"/>
      <c r="E672" s="11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3:36" ht="15.75" customHeight="1" x14ac:dyDescent="0.25">
      <c r="C673" s="1"/>
      <c r="D673" s="11"/>
      <c r="E673" s="11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3:36" ht="15.75" customHeight="1" x14ac:dyDescent="0.25">
      <c r="C674" s="1"/>
      <c r="D674" s="11"/>
      <c r="E674" s="11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3:36" ht="15.75" customHeight="1" x14ac:dyDescent="0.25">
      <c r="C675" s="1"/>
      <c r="D675" s="11"/>
      <c r="E675" s="11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3:36" ht="15.75" customHeight="1" x14ac:dyDescent="0.25">
      <c r="C676" s="1"/>
      <c r="D676" s="11"/>
      <c r="E676" s="11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3:36" ht="15.75" customHeight="1" x14ac:dyDescent="0.25">
      <c r="C677" s="1"/>
      <c r="D677" s="11"/>
      <c r="E677" s="11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3:36" ht="15.75" customHeight="1" x14ac:dyDescent="0.25">
      <c r="C678" s="1"/>
      <c r="D678" s="11"/>
      <c r="E678" s="11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3:36" ht="15.75" customHeight="1" x14ac:dyDescent="0.25">
      <c r="C679" s="1"/>
      <c r="D679" s="11"/>
      <c r="E679" s="11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3:36" ht="15.75" customHeight="1" x14ac:dyDescent="0.25">
      <c r="C680" s="1"/>
      <c r="D680" s="11"/>
      <c r="E680" s="11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3:36" ht="15.75" customHeight="1" x14ac:dyDescent="0.25">
      <c r="C681" s="1"/>
      <c r="D681" s="11"/>
      <c r="E681" s="11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3:36" ht="15.75" customHeight="1" x14ac:dyDescent="0.25">
      <c r="C682" s="1"/>
      <c r="D682" s="11"/>
      <c r="E682" s="11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3:36" ht="15.75" customHeight="1" x14ac:dyDescent="0.25">
      <c r="C683" s="1"/>
      <c r="D683" s="11"/>
      <c r="E683" s="11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3:36" ht="15.75" customHeight="1" x14ac:dyDescent="0.25">
      <c r="C684" s="1"/>
      <c r="D684" s="11"/>
      <c r="E684" s="11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3:36" ht="15.75" customHeight="1" x14ac:dyDescent="0.25">
      <c r="C685" s="1"/>
      <c r="D685" s="11"/>
      <c r="E685" s="11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3:36" ht="15.75" customHeight="1" x14ac:dyDescent="0.25">
      <c r="C686" s="1"/>
      <c r="D686" s="11"/>
      <c r="E686" s="11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3:36" ht="15.75" customHeight="1" x14ac:dyDescent="0.25">
      <c r="C687" s="1"/>
      <c r="D687" s="11"/>
      <c r="E687" s="11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3:36" ht="15.75" customHeight="1" x14ac:dyDescent="0.25">
      <c r="C688" s="1"/>
      <c r="D688" s="11"/>
      <c r="E688" s="11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3:36" ht="15.75" customHeight="1" x14ac:dyDescent="0.25">
      <c r="C689" s="1"/>
      <c r="D689" s="11"/>
      <c r="E689" s="11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3:36" ht="15.75" customHeight="1" x14ac:dyDescent="0.25">
      <c r="C690" s="1"/>
      <c r="D690" s="11"/>
      <c r="E690" s="11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3:36" ht="15.75" customHeight="1" x14ac:dyDescent="0.25">
      <c r="C691" s="1"/>
      <c r="D691" s="11"/>
      <c r="E691" s="11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3:36" ht="15.75" customHeight="1" x14ac:dyDescent="0.25">
      <c r="C692" s="1"/>
      <c r="D692" s="11"/>
      <c r="E692" s="11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3:36" ht="15.75" customHeight="1" x14ac:dyDescent="0.25">
      <c r="C693" s="1"/>
      <c r="D693" s="11"/>
      <c r="E693" s="11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3:36" ht="15.75" customHeight="1" x14ac:dyDescent="0.25">
      <c r="C694" s="1"/>
      <c r="D694" s="11"/>
      <c r="E694" s="11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3:36" ht="15.75" customHeight="1" x14ac:dyDescent="0.25">
      <c r="C695" s="1"/>
      <c r="D695" s="11"/>
      <c r="E695" s="11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3:36" ht="15.75" customHeight="1" x14ac:dyDescent="0.25">
      <c r="C696" s="1"/>
      <c r="D696" s="11"/>
      <c r="E696" s="11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3:36" ht="15.75" customHeight="1" x14ac:dyDescent="0.25">
      <c r="C697" s="1"/>
      <c r="D697" s="11"/>
      <c r="E697" s="11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3:36" ht="15.75" customHeight="1" x14ac:dyDescent="0.25">
      <c r="C698" s="1"/>
      <c r="D698" s="11"/>
      <c r="E698" s="11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3:36" ht="15.75" customHeight="1" x14ac:dyDescent="0.25">
      <c r="C699" s="1"/>
      <c r="D699" s="11"/>
      <c r="E699" s="11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3:36" ht="15.75" customHeight="1" x14ac:dyDescent="0.25">
      <c r="C700" s="1"/>
      <c r="D700" s="11"/>
      <c r="E700" s="11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3:36" ht="15.75" customHeight="1" x14ac:dyDescent="0.25">
      <c r="C701" s="1"/>
      <c r="D701" s="11"/>
      <c r="E701" s="11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3:36" ht="15.75" customHeight="1" x14ac:dyDescent="0.25">
      <c r="C702" s="1"/>
      <c r="D702" s="11"/>
      <c r="E702" s="11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3:36" ht="15.75" customHeight="1" x14ac:dyDescent="0.25">
      <c r="C703" s="1"/>
      <c r="D703" s="11"/>
      <c r="E703" s="11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3:36" ht="15.75" customHeight="1" x14ac:dyDescent="0.25">
      <c r="C704" s="1"/>
      <c r="D704" s="11"/>
      <c r="E704" s="11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3:36" ht="15.75" customHeight="1" x14ac:dyDescent="0.25">
      <c r="C705" s="1"/>
      <c r="D705" s="11"/>
      <c r="E705" s="11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3:36" ht="15.75" customHeight="1" x14ac:dyDescent="0.25">
      <c r="C706" s="1"/>
      <c r="D706" s="11"/>
      <c r="E706" s="11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3:36" ht="15.75" customHeight="1" x14ac:dyDescent="0.25">
      <c r="C707" s="1"/>
      <c r="D707" s="11"/>
      <c r="E707" s="11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3:36" ht="15.75" customHeight="1" x14ac:dyDescent="0.25">
      <c r="C708" s="1"/>
      <c r="D708" s="11"/>
      <c r="E708" s="11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3:36" ht="15.75" customHeight="1" x14ac:dyDescent="0.25">
      <c r="C709" s="1"/>
      <c r="D709" s="11"/>
      <c r="E709" s="11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3:36" ht="15.75" customHeight="1" x14ac:dyDescent="0.25">
      <c r="C710" s="1"/>
      <c r="D710" s="11"/>
      <c r="E710" s="11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3:36" ht="15.75" customHeight="1" x14ac:dyDescent="0.25">
      <c r="C711" s="1"/>
      <c r="D711" s="11"/>
      <c r="E711" s="11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3:36" ht="15.75" customHeight="1" x14ac:dyDescent="0.25">
      <c r="C712" s="1"/>
      <c r="D712" s="11"/>
      <c r="E712" s="11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3:36" ht="15.75" customHeight="1" x14ac:dyDescent="0.25">
      <c r="C713" s="1"/>
      <c r="D713" s="11"/>
      <c r="E713" s="11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3:36" ht="15.75" customHeight="1" x14ac:dyDescent="0.25">
      <c r="C714" s="1"/>
      <c r="D714" s="11"/>
      <c r="E714" s="11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3:36" ht="15.75" customHeight="1" x14ac:dyDescent="0.25">
      <c r="C715" s="1"/>
      <c r="D715" s="11"/>
      <c r="E715" s="11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3:36" ht="15.75" customHeight="1" x14ac:dyDescent="0.25">
      <c r="C716" s="1"/>
      <c r="D716" s="11"/>
      <c r="E716" s="11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3:36" ht="15.75" customHeight="1" x14ac:dyDescent="0.25">
      <c r="C717" s="1"/>
      <c r="D717" s="11"/>
      <c r="E717" s="11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3:36" ht="15.75" customHeight="1" x14ac:dyDescent="0.25">
      <c r="C718" s="1"/>
      <c r="D718" s="11"/>
      <c r="E718" s="11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3:36" ht="15.75" customHeight="1" x14ac:dyDescent="0.25">
      <c r="C719" s="1"/>
      <c r="D719" s="11"/>
      <c r="E719" s="11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3:36" ht="15.75" customHeight="1" x14ac:dyDescent="0.25">
      <c r="C720" s="1"/>
      <c r="D720" s="11"/>
      <c r="E720" s="11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3:36" ht="15.75" customHeight="1" x14ac:dyDescent="0.25">
      <c r="C721" s="1"/>
      <c r="D721" s="11"/>
      <c r="E721" s="11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3:36" ht="15.75" customHeight="1" x14ac:dyDescent="0.25">
      <c r="C722" s="1"/>
      <c r="D722" s="11"/>
      <c r="E722" s="11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3:36" ht="15.75" customHeight="1" x14ac:dyDescent="0.25">
      <c r="C723" s="1"/>
      <c r="D723" s="11"/>
      <c r="E723" s="11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3:36" ht="15.75" customHeight="1" x14ac:dyDescent="0.25">
      <c r="C724" s="1"/>
      <c r="D724" s="11"/>
      <c r="E724" s="11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3:36" ht="15.75" customHeight="1" x14ac:dyDescent="0.25">
      <c r="C725" s="1"/>
      <c r="D725" s="11"/>
      <c r="E725" s="11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3:36" ht="15.75" customHeight="1" x14ac:dyDescent="0.25">
      <c r="C726" s="1"/>
      <c r="D726" s="11"/>
      <c r="E726" s="11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3:36" ht="15.75" customHeight="1" x14ac:dyDescent="0.25">
      <c r="C727" s="1"/>
      <c r="D727" s="11"/>
      <c r="E727" s="11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3:36" ht="15.75" customHeight="1" x14ac:dyDescent="0.25">
      <c r="C728" s="1"/>
      <c r="D728" s="11"/>
      <c r="E728" s="11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3:36" ht="15.75" customHeight="1" x14ac:dyDescent="0.25">
      <c r="C729" s="1"/>
      <c r="D729" s="11"/>
      <c r="E729" s="11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3:36" ht="15.75" customHeight="1" x14ac:dyDescent="0.25">
      <c r="C730" s="1"/>
      <c r="D730" s="11"/>
      <c r="E730" s="11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3:36" ht="15.75" customHeight="1" x14ac:dyDescent="0.25">
      <c r="C731" s="1"/>
      <c r="D731" s="11"/>
      <c r="E731" s="11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3:36" ht="15.75" customHeight="1" x14ac:dyDescent="0.25">
      <c r="C732" s="1"/>
      <c r="D732" s="11"/>
      <c r="E732" s="11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3:36" ht="15.75" customHeight="1" x14ac:dyDescent="0.25">
      <c r="C733" s="1"/>
      <c r="D733" s="11"/>
      <c r="E733" s="11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3:36" ht="15.75" customHeight="1" x14ac:dyDescent="0.25">
      <c r="C734" s="1"/>
      <c r="D734" s="11"/>
      <c r="E734" s="11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3:36" ht="15.75" customHeight="1" x14ac:dyDescent="0.25">
      <c r="C735" s="1"/>
      <c r="D735" s="11"/>
      <c r="E735" s="11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3:36" ht="15.75" customHeight="1" x14ac:dyDescent="0.25">
      <c r="C736" s="1"/>
      <c r="D736" s="11"/>
      <c r="E736" s="11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3:36" ht="15.75" customHeight="1" x14ac:dyDescent="0.25">
      <c r="C737" s="1"/>
      <c r="D737" s="11"/>
      <c r="E737" s="11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3:36" ht="15.75" customHeight="1" x14ac:dyDescent="0.25">
      <c r="C738" s="1"/>
      <c r="D738" s="11"/>
      <c r="E738" s="11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3:36" ht="15.75" customHeight="1" x14ac:dyDescent="0.25">
      <c r="C739" s="1"/>
      <c r="D739" s="11"/>
      <c r="E739" s="11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3:36" ht="15.75" customHeight="1" x14ac:dyDescent="0.25">
      <c r="C740" s="1"/>
      <c r="D740" s="11"/>
      <c r="E740" s="11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3:36" ht="15.75" customHeight="1" x14ac:dyDescent="0.25">
      <c r="C741" s="1"/>
      <c r="D741" s="11"/>
      <c r="E741" s="11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3:36" ht="15.75" customHeight="1" x14ac:dyDescent="0.25">
      <c r="C742" s="1"/>
      <c r="D742" s="11"/>
      <c r="E742" s="11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3:36" ht="15.75" customHeight="1" x14ac:dyDescent="0.25">
      <c r="C743" s="1"/>
      <c r="D743" s="11"/>
      <c r="E743" s="11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3:36" ht="15.75" customHeight="1" x14ac:dyDescent="0.25">
      <c r="C744" s="1"/>
      <c r="D744" s="11"/>
      <c r="E744" s="11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3:36" ht="15.75" customHeight="1" x14ac:dyDescent="0.25">
      <c r="C745" s="1"/>
      <c r="D745" s="11"/>
      <c r="E745" s="11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3:36" ht="15.75" customHeight="1" x14ac:dyDescent="0.25">
      <c r="C746" s="1"/>
      <c r="D746" s="11"/>
      <c r="E746" s="11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3:36" ht="15.75" customHeight="1" x14ac:dyDescent="0.25">
      <c r="C747" s="1"/>
      <c r="D747" s="11"/>
      <c r="E747" s="11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3:36" ht="15.75" customHeight="1" x14ac:dyDescent="0.25">
      <c r="C748" s="1"/>
      <c r="D748" s="11"/>
      <c r="E748" s="11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3:36" ht="15.75" customHeight="1" x14ac:dyDescent="0.25">
      <c r="C749" s="1"/>
      <c r="D749" s="11"/>
      <c r="E749" s="11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3:36" ht="15.75" customHeight="1" x14ac:dyDescent="0.25">
      <c r="C750" s="1"/>
      <c r="D750" s="11"/>
      <c r="E750" s="11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3:36" ht="15.75" customHeight="1" x14ac:dyDescent="0.25">
      <c r="C751" s="1"/>
      <c r="D751" s="11"/>
      <c r="E751" s="11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3:36" ht="15.75" customHeight="1" x14ac:dyDescent="0.25">
      <c r="C752" s="1"/>
      <c r="D752" s="11"/>
      <c r="E752" s="11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3:36" ht="15.75" customHeight="1" x14ac:dyDescent="0.25">
      <c r="C753" s="1"/>
      <c r="D753" s="11"/>
      <c r="E753" s="11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3:36" ht="15.75" customHeight="1" x14ac:dyDescent="0.25">
      <c r="C754" s="1"/>
      <c r="D754" s="11"/>
      <c r="E754" s="11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3:36" ht="15.75" customHeight="1" x14ac:dyDescent="0.25">
      <c r="C755" s="1"/>
      <c r="D755" s="11"/>
      <c r="E755" s="11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3:36" ht="15.75" customHeight="1" x14ac:dyDescent="0.25">
      <c r="C756" s="1"/>
      <c r="D756" s="11"/>
      <c r="E756" s="11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3:36" ht="15.75" customHeight="1" x14ac:dyDescent="0.25">
      <c r="C757" s="1"/>
      <c r="D757" s="11"/>
      <c r="E757" s="11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3:36" ht="15.75" customHeight="1" x14ac:dyDescent="0.25">
      <c r="C758" s="1"/>
      <c r="D758" s="11"/>
      <c r="E758" s="11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3:36" ht="15.75" customHeight="1" x14ac:dyDescent="0.25">
      <c r="C759" s="1"/>
      <c r="D759" s="11"/>
      <c r="E759" s="11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3:36" ht="15.75" customHeight="1" x14ac:dyDescent="0.25">
      <c r="C760" s="1"/>
      <c r="D760" s="11"/>
      <c r="E760" s="11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3:36" ht="15.75" customHeight="1" x14ac:dyDescent="0.25">
      <c r="C761" s="1"/>
      <c r="D761" s="11"/>
      <c r="E761" s="11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3:36" ht="15.75" customHeight="1" x14ac:dyDescent="0.25">
      <c r="C762" s="1"/>
      <c r="D762" s="11"/>
      <c r="E762" s="11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3:36" ht="15.75" customHeight="1" x14ac:dyDescent="0.25">
      <c r="C763" s="1"/>
      <c r="D763" s="11"/>
      <c r="E763" s="11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3:36" ht="15.75" customHeight="1" x14ac:dyDescent="0.25">
      <c r="C764" s="1"/>
      <c r="D764" s="11"/>
      <c r="E764" s="11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3:36" ht="15.75" customHeight="1" x14ac:dyDescent="0.25">
      <c r="C765" s="1"/>
      <c r="D765" s="11"/>
      <c r="E765" s="11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3:36" ht="15.75" customHeight="1" x14ac:dyDescent="0.25">
      <c r="C766" s="1"/>
      <c r="D766" s="11"/>
      <c r="E766" s="11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3:36" ht="15.75" customHeight="1" x14ac:dyDescent="0.25">
      <c r="C767" s="1"/>
      <c r="D767" s="11"/>
      <c r="E767" s="11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3:36" ht="15.75" customHeight="1" x14ac:dyDescent="0.25">
      <c r="C768" s="1"/>
      <c r="D768" s="11"/>
      <c r="E768" s="11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3:36" ht="15.75" customHeight="1" x14ac:dyDescent="0.25">
      <c r="C769" s="1"/>
      <c r="D769" s="11"/>
      <c r="E769" s="11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3:36" ht="15.75" customHeight="1" x14ac:dyDescent="0.25">
      <c r="C770" s="1"/>
      <c r="D770" s="11"/>
      <c r="E770" s="11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3:36" ht="15.75" customHeight="1" x14ac:dyDescent="0.25">
      <c r="C771" s="1"/>
      <c r="D771" s="11"/>
      <c r="E771" s="11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3:36" ht="15.75" customHeight="1" x14ac:dyDescent="0.25">
      <c r="C772" s="1"/>
      <c r="D772" s="11"/>
      <c r="E772" s="11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3:36" ht="15.75" customHeight="1" x14ac:dyDescent="0.25">
      <c r="C773" s="1"/>
      <c r="D773" s="11"/>
      <c r="E773" s="11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3:36" ht="15.75" customHeight="1" x14ac:dyDescent="0.25">
      <c r="C774" s="1"/>
      <c r="D774" s="11"/>
      <c r="E774" s="11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3:36" ht="15.75" customHeight="1" x14ac:dyDescent="0.25">
      <c r="C775" s="1"/>
      <c r="D775" s="11"/>
      <c r="E775" s="11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3:36" ht="15.75" customHeight="1" x14ac:dyDescent="0.25">
      <c r="C776" s="1"/>
      <c r="D776" s="11"/>
      <c r="E776" s="11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3:36" ht="15.75" customHeight="1" x14ac:dyDescent="0.25">
      <c r="C777" s="1"/>
      <c r="D777" s="11"/>
      <c r="E777" s="11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3:36" ht="15.75" customHeight="1" x14ac:dyDescent="0.25">
      <c r="C778" s="1"/>
      <c r="D778" s="11"/>
      <c r="E778" s="11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3:36" ht="15.75" customHeight="1" x14ac:dyDescent="0.25">
      <c r="C779" s="1"/>
      <c r="D779" s="11"/>
      <c r="E779" s="11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3:36" ht="15.75" customHeight="1" x14ac:dyDescent="0.25">
      <c r="C780" s="1"/>
      <c r="D780" s="11"/>
      <c r="E780" s="11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3:36" ht="15.75" customHeight="1" x14ac:dyDescent="0.25">
      <c r="C781" s="1"/>
      <c r="D781" s="11"/>
      <c r="E781" s="11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3:36" ht="15.75" customHeight="1" x14ac:dyDescent="0.25">
      <c r="C782" s="1"/>
      <c r="D782" s="11"/>
      <c r="E782" s="11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3:36" ht="15.75" customHeight="1" x14ac:dyDescent="0.25">
      <c r="C783" s="1"/>
      <c r="D783" s="11"/>
      <c r="E783" s="11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3:36" ht="15.75" customHeight="1" x14ac:dyDescent="0.25">
      <c r="C784" s="1"/>
      <c r="D784" s="11"/>
      <c r="E784" s="11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3:36" ht="15.75" customHeight="1" x14ac:dyDescent="0.25">
      <c r="C785" s="1"/>
      <c r="D785" s="11"/>
      <c r="E785" s="11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3:36" ht="15.75" customHeight="1" x14ac:dyDescent="0.25">
      <c r="C786" s="1"/>
      <c r="D786" s="11"/>
      <c r="E786" s="11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3:36" ht="15.75" customHeight="1" x14ac:dyDescent="0.25">
      <c r="C787" s="1"/>
      <c r="D787" s="11"/>
      <c r="E787" s="11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3:36" ht="15.75" customHeight="1" x14ac:dyDescent="0.25">
      <c r="C788" s="1"/>
      <c r="D788" s="11"/>
      <c r="E788" s="11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3:36" ht="15.75" customHeight="1" x14ac:dyDescent="0.25">
      <c r="C789" s="1"/>
      <c r="D789" s="11"/>
      <c r="E789" s="11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3:36" ht="15.75" customHeight="1" x14ac:dyDescent="0.25">
      <c r="C790" s="1"/>
      <c r="D790" s="11"/>
      <c r="E790" s="11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3:36" ht="15.75" customHeight="1" x14ac:dyDescent="0.25">
      <c r="C791" s="1"/>
      <c r="D791" s="11"/>
      <c r="E791" s="11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3:36" ht="15.75" customHeight="1" x14ac:dyDescent="0.25">
      <c r="C792" s="1"/>
      <c r="D792" s="11"/>
      <c r="E792" s="11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3:36" ht="15.75" customHeight="1" x14ac:dyDescent="0.25">
      <c r="C793" s="1"/>
      <c r="D793" s="11"/>
      <c r="E793" s="11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3:36" ht="15.75" customHeight="1" x14ac:dyDescent="0.25">
      <c r="C794" s="1"/>
      <c r="D794" s="11"/>
      <c r="E794" s="11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3:36" ht="15.75" customHeight="1" x14ac:dyDescent="0.25">
      <c r="C795" s="1"/>
      <c r="D795" s="11"/>
      <c r="E795" s="11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3:36" ht="15.75" customHeight="1" x14ac:dyDescent="0.25">
      <c r="C796" s="1"/>
      <c r="D796" s="11"/>
      <c r="E796" s="11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3:36" ht="15.75" customHeight="1" x14ac:dyDescent="0.25">
      <c r="C797" s="1"/>
      <c r="D797" s="11"/>
      <c r="E797" s="11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3:36" ht="15.75" customHeight="1" x14ac:dyDescent="0.25">
      <c r="C798" s="1"/>
      <c r="D798" s="11"/>
      <c r="E798" s="11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3:36" ht="15.75" customHeight="1" x14ac:dyDescent="0.25">
      <c r="C799" s="1"/>
      <c r="D799" s="11"/>
      <c r="E799" s="11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3:36" ht="15.75" customHeight="1" x14ac:dyDescent="0.25">
      <c r="C800" s="1"/>
      <c r="D800" s="11"/>
      <c r="E800" s="11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3:36" ht="15.75" customHeight="1" x14ac:dyDescent="0.25">
      <c r="C801" s="1"/>
      <c r="D801" s="11"/>
      <c r="E801" s="11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3:36" ht="15.75" customHeight="1" x14ac:dyDescent="0.25">
      <c r="C802" s="1"/>
      <c r="D802" s="11"/>
      <c r="E802" s="11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3:36" ht="15.75" customHeight="1" x14ac:dyDescent="0.25">
      <c r="C803" s="1"/>
      <c r="D803" s="11"/>
      <c r="E803" s="11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3:36" ht="15.75" customHeight="1" x14ac:dyDescent="0.25">
      <c r="C804" s="1"/>
      <c r="D804" s="11"/>
      <c r="E804" s="11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3:36" ht="15.75" customHeight="1" x14ac:dyDescent="0.25">
      <c r="C805" s="1"/>
      <c r="D805" s="11"/>
      <c r="E805" s="11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3:36" ht="15.75" customHeight="1" x14ac:dyDescent="0.25">
      <c r="C806" s="1"/>
      <c r="D806" s="11"/>
      <c r="E806" s="11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3:36" ht="15.75" customHeight="1" x14ac:dyDescent="0.25">
      <c r="C807" s="1"/>
      <c r="D807" s="11"/>
      <c r="E807" s="11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3:36" ht="15.75" customHeight="1" x14ac:dyDescent="0.25">
      <c r="C808" s="1"/>
      <c r="D808" s="11"/>
      <c r="E808" s="11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3:36" ht="15.75" customHeight="1" x14ac:dyDescent="0.25">
      <c r="C809" s="1"/>
      <c r="D809" s="11"/>
      <c r="E809" s="11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3:36" ht="15.75" customHeight="1" x14ac:dyDescent="0.25">
      <c r="C810" s="1"/>
      <c r="D810" s="11"/>
      <c r="E810" s="11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3:36" ht="15.75" customHeight="1" x14ac:dyDescent="0.25">
      <c r="C811" s="1"/>
      <c r="D811" s="11"/>
      <c r="E811" s="11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3:36" ht="15.75" customHeight="1" x14ac:dyDescent="0.25">
      <c r="C812" s="1"/>
      <c r="D812" s="11"/>
      <c r="E812" s="11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3:36" ht="15.75" customHeight="1" x14ac:dyDescent="0.25">
      <c r="C813" s="1"/>
      <c r="D813" s="11"/>
      <c r="E813" s="11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3:36" ht="15.75" customHeight="1" x14ac:dyDescent="0.25">
      <c r="C814" s="1"/>
      <c r="D814" s="11"/>
      <c r="E814" s="11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3:36" ht="15.75" customHeight="1" x14ac:dyDescent="0.25">
      <c r="C815" s="1"/>
      <c r="D815" s="11"/>
      <c r="E815" s="11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3:36" ht="15.75" customHeight="1" x14ac:dyDescent="0.25">
      <c r="C816" s="1"/>
      <c r="D816" s="11"/>
      <c r="E816" s="11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3:36" ht="15.75" customHeight="1" x14ac:dyDescent="0.25">
      <c r="C817" s="1"/>
      <c r="D817" s="11"/>
      <c r="E817" s="11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3:36" ht="15.75" customHeight="1" x14ac:dyDescent="0.25">
      <c r="C818" s="1"/>
      <c r="D818" s="11"/>
      <c r="E818" s="11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3:36" ht="15.75" customHeight="1" x14ac:dyDescent="0.25">
      <c r="C819" s="1"/>
      <c r="D819" s="11"/>
      <c r="E819" s="11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3:36" ht="15.75" customHeight="1" x14ac:dyDescent="0.25">
      <c r="C820" s="1"/>
      <c r="D820" s="11"/>
      <c r="E820" s="11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3:36" ht="15.75" customHeight="1" x14ac:dyDescent="0.25">
      <c r="C821" s="1"/>
      <c r="D821" s="11"/>
      <c r="E821" s="11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3:36" ht="15.75" customHeight="1" x14ac:dyDescent="0.25">
      <c r="C822" s="1"/>
      <c r="D822" s="11"/>
      <c r="E822" s="11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3:36" ht="15.75" customHeight="1" x14ac:dyDescent="0.25">
      <c r="C823" s="1"/>
      <c r="D823" s="11"/>
      <c r="E823" s="11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3:36" ht="15.75" customHeight="1" x14ac:dyDescent="0.25">
      <c r="C824" s="1"/>
      <c r="D824" s="11"/>
      <c r="E824" s="11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3:36" ht="15.75" customHeight="1" x14ac:dyDescent="0.25">
      <c r="C825" s="1"/>
      <c r="D825" s="11"/>
      <c r="E825" s="11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3:36" ht="15.75" customHeight="1" x14ac:dyDescent="0.25">
      <c r="C826" s="1"/>
      <c r="D826" s="11"/>
      <c r="E826" s="11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3:36" ht="15.75" customHeight="1" x14ac:dyDescent="0.25">
      <c r="C827" s="1"/>
      <c r="D827" s="11"/>
      <c r="E827" s="11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3:36" ht="15.75" customHeight="1" x14ac:dyDescent="0.25">
      <c r="C828" s="1"/>
      <c r="D828" s="11"/>
      <c r="E828" s="11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3:36" ht="15.75" customHeight="1" x14ac:dyDescent="0.25">
      <c r="C829" s="1"/>
      <c r="D829" s="11"/>
      <c r="E829" s="11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3:36" ht="15.75" customHeight="1" x14ac:dyDescent="0.25">
      <c r="C830" s="1"/>
      <c r="D830" s="11"/>
      <c r="E830" s="11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3:36" ht="15.75" customHeight="1" x14ac:dyDescent="0.25">
      <c r="C831" s="1"/>
      <c r="D831" s="11"/>
      <c r="E831" s="11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3:36" ht="15.75" customHeight="1" x14ac:dyDescent="0.25">
      <c r="C832" s="1"/>
      <c r="D832" s="11"/>
      <c r="E832" s="11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3:36" ht="15.75" customHeight="1" x14ac:dyDescent="0.25">
      <c r="C833" s="1"/>
      <c r="D833" s="11"/>
      <c r="E833" s="11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3:36" ht="15.75" customHeight="1" x14ac:dyDescent="0.25">
      <c r="C834" s="1"/>
      <c r="D834" s="11"/>
      <c r="E834" s="11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3:36" ht="15.75" customHeight="1" x14ac:dyDescent="0.25">
      <c r="C835" s="1"/>
      <c r="D835" s="11"/>
      <c r="E835" s="11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3:36" ht="15.75" customHeight="1" x14ac:dyDescent="0.25">
      <c r="C836" s="1"/>
      <c r="D836" s="11"/>
      <c r="E836" s="11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3:36" ht="15.75" customHeight="1" x14ac:dyDescent="0.25">
      <c r="C837" s="1"/>
      <c r="D837" s="11"/>
      <c r="E837" s="11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3:36" ht="15.75" customHeight="1" x14ac:dyDescent="0.25">
      <c r="C838" s="1"/>
      <c r="D838" s="11"/>
      <c r="E838" s="11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3:36" ht="15.75" customHeight="1" x14ac:dyDescent="0.25">
      <c r="C839" s="1"/>
      <c r="D839" s="11"/>
      <c r="E839" s="11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3:36" ht="15.75" customHeight="1" x14ac:dyDescent="0.25">
      <c r="C840" s="1"/>
      <c r="D840" s="11"/>
      <c r="E840" s="11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3:36" ht="15.75" customHeight="1" x14ac:dyDescent="0.25">
      <c r="C841" s="1"/>
      <c r="D841" s="11"/>
      <c r="E841" s="11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3:36" ht="15.75" customHeight="1" x14ac:dyDescent="0.25">
      <c r="C842" s="1"/>
      <c r="D842" s="11"/>
      <c r="E842" s="11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3:36" ht="15.75" customHeight="1" x14ac:dyDescent="0.25">
      <c r="C843" s="1"/>
      <c r="D843" s="11"/>
      <c r="E843" s="11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3:36" ht="15.75" customHeight="1" x14ac:dyDescent="0.25">
      <c r="C844" s="1"/>
      <c r="D844" s="11"/>
      <c r="E844" s="11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3:36" ht="15.75" customHeight="1" x14ac:dyDescent="0.25">
      <c r="C845" s="1"/>
      <c r="D845" s="11"/>
      <c r="E845" s="11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3:36" ht="15.75" customHeight="1" x14ac:dyDescent="0.25">
      <c r="C846" s="1"/>
      <c r="D846" s="11"/>
      <c r="E846" s="11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3:36" ht="15.75" customHeight="1" x14ac:dyDescent="0.25">
      <c r="C847" s="1"/>
      <c r="D847" s="11"/>
      <c r="E847" s="11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3:36" ht="15.75" customHeight="1" x14ac:dyDescent="0.25">
      <c r="C848" s="1"/>
      <c r="D848" s="11"/>
      <c r="E848" s="11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3:36" ht="15.75" customHeight="1" x14ac:dyDescent="0.25">
      <c r="C849" s="1"/>
      <c r="D849" s="11"/>
      <c r="E849" s="11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3:36" ht="15.75" customHeight="1" x14ac:dyDescent="0.25">
      <c r="C850" s="1"/>
      <c r="D850" s="11"/>
      <c r="E850" s="11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3:36" ht="15.75" customHeight="1" x14ac:dyDescent="0.25">
      <c r="C851" s="1"/>
      <c r="D851" s="11"/>
      <c r="E851" s="11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3:36" ht="15.75" customHeight="1" x14ac:dyDescent="0.25">
      <c r="C852" s="1"/>
      <c r="D852" s="11"/>
      <c r="E852" s="11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3:36" ht="15.75" customHeight="1" x14ac:dyDescent="0.25">
      <c r="C853" s="1"/>
      <c r="D853" s="11"/>
      <c r="E853" s="11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3:36" ht="15.75" customHeight="1" x14ac:dyDescent="0.25">
      <c r="C854" s="1"/>
      <c r="D854" s="11"/>
      <c r="E854" s="11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3:36" ht="15.75" customHeight="1" x14ac:dyDescent="0.25">
      <c r="C855" s="1"/>
      <c r="D855" s="11"/>
      <c r="E855" s="11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3:36" ht="15.75" customHeight="1" x14ac:dyDescent="0.25">
      <c r="C856" s="1"/>
      <c r="D856" s="11"/>
      <c r="E856" s="11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3:36" ht="15.75" customHeight="1" x14ac:dyDescent="0.25">
      <c r="C857" s="1"/>
      <c r="D857" s="11"/>
      <c r="E857" s="11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3:36" ht="15.75" customHeight="1" x14ac:dyDescent="0.25">
      <c r="C858" s="1"/>
      <c r="D858" s="11"/>
      <c r="E858" s="11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3:36" ht="15.75" customHeight="1" x14ac:dyDescent="0.25">
      <c r="C859" s="1"/>
      <c r="D859" s="11"/>
      <c r="E859" s="11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3:36" ht="15.75" customHeight="1" x14ac:dyDescent="0.25">
      <c r="C860" s="1"/>
      <c r="D860" s="11"/>
      <c r="E860" s="11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3:36" ht="15.75" customHeight="1" x14ac:dyDescent="0.25">
      <c r="C861" s="1"/>
      <c r="D861" s="11"/>
      <c r="E861" s="11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3:36" ht="15.75" customHeight="1" x14ac:dyDescent="0.25">
      <c r="C862" s="1"/>
      <c r="D862" s="11"/>
      <c r="E862" s="11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3:36" ht="15.75" customHeight="1" x14ac:dyDescent="0.25">
      <c r="C863" s="1"/>
      <c r="D863" s="11"/>
      <c r="E863" s="11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3:36" ht="15.75" customHeight="1" x14ac:dyDescent="0.25">
      <c r="C864" s="1"/>
      <c r="D864" s="11"/>
      <c r="E864" s="11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3:36" ht="15.75" customHeight="1" x14ac:dyDescent="0.25">
      <c r="C865" s="1"/>
      <c r="D865" s="11"/>
      <c r="E865" s="11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3:36" ht="15.75" customHeight="1" x14ac:dyDescent="0.25">
      <c r="C866" s="1"/>
      <c r="D866" s="11"/>
      <c r="E866" s="11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3:36" ht="15.75" customHeight="1" x14ac:dyDescent="0.25">
      <c r="C867" s="1"/>
      <c r="D867" s="11"/>
      <c r="E867" s="11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3:36" ht="15.75" customHeight="1" x14ac:dyDescent="0.25">
      <c r="C868" s="1"/>
      <c r="D868" s="11"/>
      <c r="E868" s="11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3:36" ht="15.75" customHeight="1" x14ac:dyDescent="0.25">
      <c r="C869" s="1"/>
      <c r="D869" s="11"/>
      <c r="E869" s="11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3:36" ht="15.75" customHeight="1" x14ac:dyDescent="0.25">
      <c r="C870" s="1"/>
      <c r="D870" s="11"/>
      <c r="E870" s="11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3:36" ht="15.75" customHeight="1" x14ac:dyDescent="0.25">
      <c r="C871" s="1"/>
      <c r="D871" s="11"/>
      <c r="E871" s="11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3:36" ht="15.75" customHeight="1" x14ac:dyDescent="0.25">
      <c r="C872" s="1"/>
      <c r="D872" s="11"/>
      <c r="E872" s="11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3:36" ht="15.75" customHeight="1" x14ac:dyDescent="0.25">
      <c r="C873" s="1"/>
      <c r="D873" s="11"/>
      <c r="E873" s="11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3:36" ht="15.75" customHeight="1" x14ac:dyDescent="0.25">
      <c r="C874" s="1"/>
      <c r="D874" s="11"/>
      <c r="E874" s="11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3:36" ht="15.75" customHeight="1" x14ac:dyDescent="0.25">
      <c r="C875" s="1"/>
      <c r="D875" s="11"/>
      <c r="E875" s="11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3:36" ht="15.75" customHeight="1" x14ac:dyDescent="0.25">
      <c r="C876" s="1"/>
      <c r="D876" s="11"/>
      <c r="E876" s="11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3:36" ht="15.75" customHeight="1" x14ac:dyDescent="0.25">
      <c r="C877" s="1"/>
      <c r="D877" s="11"/>
      <c r="E877" s="11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3:36" ht="15.75" customHeight="1" x14ac:dyDescent="0.25">
      <c r="C878" s="1"/>
      <c r="D878" s="11"/>
      <c r="E878" s="11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3:36" ht="15.75" customHeight="1" x14ac:dyDescent="0.25">
      <c r="C879" s="1"/>
      <c r="D879" s="11"/>
      <c r="E879" s="11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3:36" ht="15.75" customHeight="1" x14ac:dyDescent="0.25">
      <c r="C880" s="1"/>
      <c r="D880" s="11"/>
      <c r="E880" s="11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3:36" ht="15.75" customHeight="1" x14ac:dyDescent="0.25">
      <c r="C881" s="1"/>
      <c r="D881" s="11"/>
      <c r="E881" s="11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3:36" ht="15.75" customHeight="1" x14ac:dyDescent="0.25">
      <c r="C882" s="1"/>
      <c r="D882" s="11"/>
      <c r="E882" s="11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3:36" ht="15.75" customHeight="1" x14ac:dyDescent="0.25">
      <c r="C883" s="1"/>
      <c r="D883" s="11"/>
      <c r="E883" s="11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3:36" ht="15.75" customHeight="1" x14ac:dyDescent="0.25">
      <c r="C884" s="1"/>
      <c r="D884" s="11"/>
      <c r="E884" s="11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3:36" ht="15.75" customHeight="1" x14ac:dyDescent="0.25">
      <c r="C885" s="1"/>
      <c r="D885" s="11"/>
      <c r="E885" s="11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3:36" ht="15.75" customHeight="1" x14ac:dyDescent="0.25">
      <c r="C886" s="1"/>
      <c r="D886" s="11"/>
      <c r="E886" s="11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3:36" ht="15.75" customHeight="1" x14ac:dyDescent="0.25">
      <c r="C887" s="1"/>
      <c r="D887" s="11"/>
      <c r="E887" s="11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3:36" ht="15.75" customHeight="1" x14ac:dyDescent="0.25">
      <c r="C888" s="1"/>
      <c r="D888" s="11"/>
      <c r="E888" s="11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3:36" ht="15.75" customHeight="1" x14ac:dyDescent="0.25">
      <c r="C889" s="1"/>
      <c r="D889" s="11"/>
      <c r="E889" s="11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3:36" ht="15.75" customHeight="1" x14ac:dyDescent="0.25">
      <c r="C890" s="1"/>
      <c r="D890" s="11"/>
      <c r="E890" s="11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3:36" ht="15.75" customHeight="1" x14ac:dyDescent="0.25">
      <c r="C891" s="1"/>
      <c r="D891" s="11"/>
      <c r="E891" s="11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3:36" ht="15.75" customHeight="1" x14ac:dyDescent="0.25">
      <c r="C892" s="1"/>
      <c r="D892" s="11"/>
      <c r="E892" s="11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3:36" ht="15.75" customHeight="1" x14ac:dyDescent="0.25">
      <c r="C893" s="1"/>
      <c r="D893" s="11"/>
      <c r="E893" s="11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3:36" ht="15.75" customHeight="1" x14ac:dyDescent="0.25">
      <c r="C894" s="1"/>
      <c r="D894" s="11"/>
      <c r="E894" s="11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3:36" ht="15.75" customHeight="1" x14ac:dyDescent="0.25">
      <c r="C895" s="1"/>
      <c r="D895" s="11"/>
      <c r="E895" s="11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3:36" ht="15.75" customHeight="1" x14ac:dyDescent="0.25">
      <c r="C896" s="1"/>
      <c r="D896" s="11"/>
      <c r="E896" s="11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3:36" ht="15.75" customHeight="1" x14ac:dyDescent="0.25">
      <c r="C897" s="1"/>
      <c r="D897" s="11"/>
      <c r="E897" s="11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3:36" ht="15.75" customHeight="1" x14ac:dyDescent="0.25">
      <c r="C898" s="1"/>
      <c r="D898" s="11"/>
      <c r="E898" s="11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3:36" ht="15.75" customHeight="1" x14ac:dyDescent="0.25">
      <c r="C899" s="1"/>
      <c r="D899" s="11"/>
      <c r="E899" s="11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3:36" ht="15.75" customHeight="1" x14ac:dyDescent="0.25">
      <c r="C900" s="1"/>
      <c r="D900" s="11"/>
      <c r="E900" s="11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3:36" ht="15.75" customHeight="1" x14ac:dyDescent="0.25">
      <c r="C901" s="1"/>
      <c r="D901" s="11"/>
      <c r="E901" s="11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3:36" ht="15.75" customHeight="1" x14ac:dyDescent="0.25">
      <c r="C902" s="1"/>
      <c r="D902" s="11"/>
      <c r="E902" s="11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3:36" ht="15.75" customHeight="1" x14ac:dyDescent="0.25">
      <c r="C903" s="1"/>
      <c r="D903" s="11"/>
      <c r="E903" s="11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3:36" ht="15.75" customHeight="1" x14ac:dyDescent="0.25">
      <c r="C904" s="1"/>
      <c r="D904" s="11"/>
      <c r="E904" s="11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3:36" ht="15.75" customHeight="1" x14ac:dyDescent="0.25">
      <c r="C905" s="1"/>
      <c r="D905" s="11"/>
      <c r="E905" s="11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3:36" ht="15.75" customHeight="1" x14ac:dyDescent="0.25">
      <c r="C906" s="1"/>
      <c r="D906" s="11"/>
      <c r="E906" s="11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3:36" ht="15.75" customHeight="1" x14ac:dyDescent="0.25">
      <c r="C907" s="1"/>
      <c r="D907" s="11"/>
      <c r="E907" s="11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3:36" ht="15.75" customHeight="1" x14ac:dyDescent="0.25">
      <c r="C908" s="1"/>
      <c r="D908" s="11"/>
      <c r="E908" s="11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3:36" ht="15.75" customHeight="1" x14ac:dyDescent="0.25">
      <c r="C909" s="1"/>
      <c r="D909" s="11"/>
      <c r="E909" s="11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3:36" ht="15.75" customHeight="1" x14ac:dyDescent="0.25">
      <c r="C910" s="1"/>
      <c r="D910" s="11"/>
      <c r="E910" s="11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3:36" ht="15.75" customHeight="1" x14ac:dyDescent="0.25">
      <c r="C911" s="1"/>
      <c r="D911" s="11"/>
      <c r="E911" s="11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3:36" ht="15.75" customHeight="1" x14ac:dyDescent="0.25">
      <c r="C912" s="1"/>
      <c r="D912" s="11"/>
      <c r="E912" s="11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3:36" ht="15.75" customHeight="1" x14ac:dyDescent="0.25">
      <c r="C913" s="1"/>
      <c r="D913" s="11"/>
      <c r="E913" s="11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3:36" ht="15.75" customHeight="1" x14ac:dyDescent="0.25">
      <c r="C914" s="1"/>
      <c r="D914" s="11"/>
      <c r="E914" s="11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3:36" ht="15.75" customHeight="1" x14ac:dyDescent="0.25">
      <c r="C915" s="1"/>
      <c r="D915" s="11"/>
      <c r="E915" s="11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3:36" ht="15.75" customHeight="1" x14ac:dyDescent="0.25">
      <c r="C916" s="1"/>
      <c r="D916" s="11"/>
      <c r="E916" s="11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3:36" ht="15.75" customHeight="1" x14ac:dyDescent="0.25">
      <c r="C917" s="1"/>
      <c r="D917" s="11"/>
      <c r="E917" s="11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3:36" ht="15.75" customHeight="1" x14ac:dyDescent="0.25">
      <c r="C918" s="1"/>
      <c r="D918" s="11"/>
      <c r="E918" s="11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3:36" ht="15.75" customHeight="1" x14ac:dyDescent="0.25">
      <c r="C919" s="1"/>
      <c r="D919" s="11"/>
      <c r="E919" s="11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3:36" ht="15.75" customHeight="1" x14ac:dyDescent="0.25">
      <c r="C920" s="1"/>
      <c r="D920" s="11"/>
      <c r="E920" s="11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3:36" ht="15.75" customHeight="1" x14ac:dyDescent="0.25">
      <c r="C921" s="1"/>
      <c r="D921" s="11"/>
      <c r="E921" s="11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3:36" ht="15.75" customHeight="1" x14ac:dyDescent="0.25">
      <c r="C922" s="1"/>
      <c r="D922" s="11"/>
      <c r="E922" s="11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3:36" ht="15.75" customHeight="1" x14ac:dyDescent="0.25">
      <c r="C923" s="1"/>
      <c r="D923" s="11"/>
      <c r="E923" s="11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3:36" ht="15.75" customHeight="1" x14ac:dyDescent="0.25">
      <c r="C924" s="1"/>
      <c r="D924" s="11"/>
      <c r="E924" s="11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3:36" ht="15.75" customHeight="1" x14ac:dyDescent="0.25">
      <c r="C925" s="1"/>
      <c r="D925" s="11"/>
      <c r="E925" s="11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3:36" ht="15.75" customHeight="1" x14ac:dyDescent="0.25">
      <c r="C926" s="1"/>
      <c r="D926" s="11"/>
      <c r="E926" s="11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3:36" ht="15.75" customHeight="1" x14ac:dyDescent="0.25">
      <c r="C927" s="1"/>
      <c r="D927" s="11"/>
      <c r="E927" s="11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3:36" ht="15.75" customHeight="1" x14ac:dyDescent="0.25">
      <c r="C928" s="1"/>
      <c r="D928" s="11"/>
      <c r="E928" s="11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3:36" ht="15.75" customHeight="1" x14ac:dyDescent="0.25">
      <c r="C929" s="1"/>
      <c r="D929" s="11"/>
      <c r="E929" s="11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3:36" ht="15.75" customHeight="1" x14ac:dyDescent="0.25">
      <c r="C930" s="1"/>
      <c r="D930" s="11"/>
      <c r="E930" s="11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3:36" ht="15.75" customHeight="1" x14ac:dyDescent="0.25">
      <c r="C931" s="1"/>
      <c r="D931" s="11"/>
      <c r="E931" s="11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3:36" ht="15.75" customHeight="1" x14ac:dyDescent="0.25">
      <c r="C932" s="1"/>
      <c r="D932" s="11"/>
      <c r="E932" s="11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3:36" ht="15.75" customHeight="1" x14ac:dyDescent="0.25">
      <c r="C933" s="1"/>
      <c r="D933" s="11"/>
      <c r="E933" s="11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3:36" ht="15.75" customHeight="1" x14ac:dyDescent="0.25">
      <c r="C934" s="1"/>
      <c r="D934" s="11"/>
      <c r="E934" s="11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3:36" ht="15.75" customHeight="1" x14ac:dyDescent="0.25">
      <c r="C935" s="1"/>
      <c r="D935" s="11"/>
      <c r="E935" s="11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3:36" ht="15.75" customHeight="1" x14ac:dyDescent="0.25">
      <c r="C936" s="1"/>
      <c r="D936" s="11"/>
      <c r="E936" s="11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3:36" ht="15.75" customHeight="1" x14ac:dyDescent="0.25">
      <c r="C937" s="1"/>
      <c r="D937" s="11"/>
      <c r="E937" s="11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3:36" ht="15.75" customHeight="1" x14ac:dyDescent="0.25">
      <c r="C938" s="1"/>
      <c r="D938" s="11"/>
      <c r="E938" s="11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3:36" ht="15.75" customHeight="1" x14ac:dyDescent="0.25">
      <c r="C939" s="1"/>
      <c r="D939" s="11"/>
      <c r="E939" s="11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3:36" ht="15.75" customHeight="1" x14ac:dyDescent="0.25">
      <c r="C940" s="1"/>
      <c r="D940" s="11"/>
      <c r="E940" s="11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3:36" ht="15.75" customHeight="1" x14ac:dyDescent="0.25">
      <c r="C941" s="1"/>
      <c r="D941" s="11"/>
      <c r="E941" s="11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3:36" ht="15.75" customHeight="1" x14ac:dyDescent="0.25">
      <c r="C942" s="1"/>
      <c r="D942" s="11"/>
      <c r="E942" s="11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3:36" ht="15.75" customHeight="1" x14ac:dyDescent="0.25">
      <c r="C943" s="1"/>
      <c r="D943" s="11"/>
      <c r="E943" s="11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3:36" ht="15.75" customHeight="1" x14ac:dyDescent="0.25">
      <c r="C944" s="1"/>
      <c r="D944" s="11"/>
      <c r="E944" s="11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3:36" ht="15.75" customHeight="1" x14ac:dyDescent="0.25">
      <c r="C945" s="1"/>
      <c r="D945" s="11"/>
      <c r="E945" s="11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3:36" ht="15.75" customHeight="1" x14ac:dyDescent="0.25">
      <c r="C946" s="1"/>
      <c r="D946" s="11"/>
      <c r="E946" s="11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3:36" ht="15.75" customHeight="1" x14ac:dyDescent="0.25">
      <c r="C947" s="1"/>
      <c r="D947" s="11"/>
      <c r="E947" s="11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3:36" ht="15.75" customHeight="1" x14ac:dyDescent="0.25">
      <c r="C948" s="1"/>
      <c r="D948" s="11"/>
      <c r="E948" s="11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3:36" ht="15.75" customHeight="1" x14ac:dyDescent="0.25">
      <c r="C949" s="1"/>
      <c r="D949" s="11"/>
      <c r="E949" s="11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3:36" ht="15.75" customHeight="1" x14ac:dyDescent="0.25">
      <c r="C950" s="1"/>
      <c r="D950" s="11"/>
      <c r="E950" s="11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3:36" ht="15.75" customHeight="1" x14ac:dyDescent="0.25">
      <c r="C951" s="1"/>
      <c r="D951" s="11"/>
      <c r="E951" s="11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3:36" ht="15.75" customHeight="1" x14ac:dyDescent="0.25">
      <c r="C952" s="1"/>
      <c r="D952" s="11"/>
      <c r="E952" s="11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3:36" ht="15.75" customHeight="1" x14ac:dyDescent="0.25">
      <c r="C953" s="1"/>
      <c r="D953" s="11"/>
      <c r="E953" s="11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3:36" ht="15.75" customHeight="1" x14ac:dyDescent="0.25">
      <c r="C954" s="1"/>
      <c r="D954" s="11"/>
      <c r="E954" s="11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3:36" ht="15.75" customHeight="1" x14ac:dyDescent="0.25">
      <c r="C955" s="1"/>
      <c r="D955" s="11"/>
      <c r="E955" s="11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3:36" ht="15.75" customHeight="1" x14ac:dyDescent="0.25">
      <c r="C956" s="1"/>
      <c r="D956" s="11"/>
      <c r="E956" s="11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3:36" ht="15.75" customHeight="1" x14ac:dyDescent="0.25">
      <c r="C957" s="1"/>
      <c r="D957" s="11"/>
      <c r="E957" s="11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3:36" ht="15.75" customHeight="1" x14ac:dyDescent="0.25">
      <c r="C958" s="1"/>
      <c r="D958" s="11"/>
      <c r="E958" s="11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3:36" ht="15.75" customHeight="1" x14ac:dyDescent="0.25">
      <c r="C959" s="1"/>
      <c r="D959" s="11"/>
      <c r="E959" s="11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3:36" ht="15.75" customHeight="1" x14ac:dyDescent="0.25">
      <c r="C960" s="1"/>
      <c r="D960" s="11"/>
      <c r="E960" s="11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3:36" ht="15.75" customHeight="1" x14ac:dyDescent="0.25">
      <c r="C961" s="1"/>
      <c r="D961" s="11"/>
      <c r="E961" s="11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spans="3:36" ht="15.75" customHeight="1" x14ac:dyDescent="0.25">
      <c r="C962" s="1"/>
      <c r="D962" s="11"/>
      <c r="E962" s="11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 spans="3:36" ht="15.75" customHeight="1" x14ac:dyDescent="0.25">
      <c r="C963" s="1"/>
      <c r="D963" s="11"/>
      <c r="E963" s="11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 spans="3:36" ht="15.75" customHeight="1" x14ac:dyDescent="0.25">
      <c r="C964" s="1"/>
      <c r="D964" s="11"/>
      <c r="E964" s="11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 spans="3:36" ht="15.75" customHeight="1" x14ac:dyDescent="0.25">
      <c r="C965" s="1"/>
      <c r="D965" s="11"/>
      <c r="E965" s="11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 spans="3:36" ht="15.75" customHeight="1" x14ac:dyDescent="0.25">
      <c r="C966" s="1"/>
      <c r="D966" s="11"/>
      <c r="E966" s="11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 spans="3:36" ht="15.75" customHeight="1" x14ac:dyDescent="0.25">
      <c r="C967" s="1"/>
      <c r="D967" s="11"/>
      <c r="E967" s="11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 spans="3:36" ht="15.75" customHeight="1" x14ac:dyDescent="0.25">
      <c r="C968" s="1"/>
      <c r="D968" s="11"/>
      <c r="E968" s="11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 spans="3:36" ht="15.75" customHeight="1" x14ac:dyDescent="0.25">
      <c r="C969" s="1"/>
      <c r="D969" s="11"/>
      <c r="E969" s="11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 spans="3:36" ht="15.75" customHeight="1" x14ac:dyDescent="0.25">
      <c r="C970" s="1"/>
      <c r="D970" s="11"/>
      <c r="E970" s="11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 spans="3:36" ht="15.75" customHeight="1" x14ac:dyDescent="0.25">
      <c r="C971" s="1"/>
      <c r="D971" s="11"/>
      <c r="E971" s="11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 spans="3:36" ht="15.75" customHeight="1" x14ac:dyDescent="0.25">
      <c r="C972" s="1"/>
      <c r="D972" s="11"/>
      <c r="E972" s="11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 spans="3:36" ht="15.75" customHeight="1" x14ac:dyDescent="0.25">
      <c r="C973" s="1"/>
      <c r="D973" s="11"/>
      <c r="E973" s="11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 spans="3:36" ht="15.75" customHeight="1" x14ac:dyDescent="0.25">
      <c r="C974" s="1"/>
      <c r="D974" s="11"/>
      <c r="E974" s="11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 spans="3:36" ht="15.75" customHeight="1" x14ac:dyDescent="0.25">
      <c r="C975" s="1"/>
      <c r="D975" s="11"/>
      <c r="E975" s="11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 spans="3:36" ht="15.75" customHeight="1" x14ac:dyDescent="0.25">
      <c r="C976" s="1"/>
      <c r="D976" s="11"/>
      <c r="E976" s="11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 spans="3:36" ht="15.75" customHeight="1" x14ac:dyDescent="0.25">
      <c r="C977" s="1"/>
      <c r="D977" s="11"/>
      <c r="E977" s="11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 spans="3:36" ht="15.75" customHeight="1" x14ac:dyDescent="0.25">
      <c r="C978" s="1"/>
      <c r="D978" s="11"/>
      <c r="E978" s="11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 spans="3:36" ht="15.75" customHeight="1" x14ac:dyDescent="0.25">
      <c r="C979" s="1"/>
      <c r="D979" s="11"/>
      <c r="E979" s="11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 spans="3:36" ht="15.75" customHeight="1" x14ac:dyDescent="0.25">
      <c r="C980" s="1"/>
      <c r="D980" s="11"/>
      <c r="E980" s="11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 spans="3:36" ht="15.75" customHeight="1" x14ac:dyDescent="0.25">
      <c r="C981" s="1"/>
      <c r="D981" s="11"/>
      <c r="E981" s="11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 spans="3:36" ht="15.75" customHeight="1" x14ac:dyDescent="0.25">
      <c r="C982" s="1"/>
      <c r="D982" s="11"/>
      <c r="E982" s="11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 spans="3:36" ht="15.75" customHeight="1" x14ac:dyDescent="0.25">
      <c r="C983" s="1"/>
      <c r="D983" s="11"/>
      <c r="E983" s="11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 spans="3:36" ht="15.75" customHeight="1" x14ac:dyDescent="0.25">
      <c r="C984" s="1"/>
      <c r="D984" s="11"/>
      <c r="E984" s="11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 spans="3:36" ht="15.75" customHeight="1" x14ac:dyDescent="0.25">
      <c r="C985" s="1"/>
      <c r="D985" s="11"/>
      <c r="E985" s="11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 spans="3:36" ht="15.75" customHeight="1" x14ac:dyDescent="0.25">
      <c r="C986" s="1"/>
      <c r="D986" s="11"/>
      <c r="E986" s="11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 spans="3:36" ht="15.75" customHeight="1" x14ac:dyDescent="0.25">
      <c r="C987" s="1"/>
      <c r="D987" s="11"/>
      <c r="E987" s="11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 spans="3:36" ht="15.75" customHeight="1" x14ac:dyDescent="0.25">
      <c r="C988" s="1"/>
      <c r="D988" s="11"/>
      <c r="E988" s="11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 spans="3:36" ht="15.75" customHeight="1" x14ac:dyDescent="0.25">
      <c r="C989" s="1"/>
      <c r="D989" s="11"/>
      <c r="E989" s="11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 spans="3:36" ht="15.75" customHeight="1" x14ac:dyDescent="0.25">
      <c r="C990" s="1"/>
      <c r="D990" s="11"/>
      <c r="E990" s="11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 spans="3:36" ht="15.75" customHeight="1" x14ac:dyDescent="0.25">
      <c r="C991" s="1"/>
      <c r="D991" s="11"/>
      <c r="E991" s="11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 spans="3:36" ht="15.75" customHeight="1" x14ac:dyDescent="0.25">
      <c r="C992" s="1"/>
      <c r="D992" s="11"/>
      <c r="E992" s="11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 spans="3:36" ht="15.75" customHeight="1" x14ac:dyDescent="0.25">
      <c r="C993" s="1"/>
      <c r="D993" s="11"/>
      <c r="E993" s="11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 spans="3:36" ht="15.75" customHeight="1" x14ac:dyDescent="0.25">
      <c r="C994" s="1"/>
      <c r="D994" s="11"/>
      <c r="E994" s="11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 spans="3:36" ht="15.75" customHeight="1" x14ac:dyDescent="0.25">
      <c r="C995" s="1"/>
      <c r="D995" s="11"/>
      <c r="E995" s="11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 spans="3:36" ht="15.75" customHeight="1" x14ac:dyDescent="0.25">
      <c r="C996" s="1"/>
      <c r="D996" s="11"/>
      <c r="E996" s="11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3:36" ht="15.75" customHeight="1" x14ac:dyDescent="0.25">
      <c r="C997" s="1"/>
      <c r="D997" s="11"/>
      <c r="E997" s="11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 spans="3:36" ht="15.75" customHeight="1" x14ac:dyDescent="0.25">
      <c r="C998" s="1"/>
      <c r="D998" s="11"/>
      <c r="E998" s="11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 spans="3:36" ht="15.75" customHeight="1" x14ac:dyDescent="0.25">
      <c r="C999" s="1"/>
      <c r="D999" s="11"/>
      <c r="E999" s="11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 spans="3:36" ht="15.75" customHeight="1" x14ac:dyDescent="0.25">
      <c r="C1000" s="1"/>
      <c r="D1000" s="11"/>
      <c r="E1000" s="11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</sheetData>
  <conditionalFormatting sqref="L2:L83">
    <cfRule type="cellIs" dxfId="1" priority="1" operator="between">
      <formula>77</formula>
      <formula>107</formula>
    </cfRule>
    <cfRule type="cellIs" dxfId="0" priority="2" operator="lessThan">
      <formula>77</formula>
    </cfRule>
  </conditionalFormatting>
  <pageMargins left="0.511811024" right="0.511811024" top="0.78740157499999996" bottom="0.78740157499999996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MARCOS OTÁVIO BRUM ANTUNES</cp:lastModifiedBy>
  <dcterms:created xsi:type="dcterms:W3CDTF">2018-08-13T12:32:03Z</dcterms:created>
  <dcterms:modified xsi:type="dcterms:W3CDTF">2024-01-26T00:20:25Z</dcterms:modified>
</cp:coreProperties>
</file>